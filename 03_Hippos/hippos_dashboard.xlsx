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Costing" sheetId="1" state="visible" r:id="rId3"/>
    <sheet name="Customer Tracker" sheetId="2" state="visible" r:id="rId4"/>
    <sheet name="Pricing Master" sheetId="3" state="visible" r:id="rId5"/>
    <sheet name="Pipeline &amp; Leads" sheetId="4" state="visible" r:id="rId6"/>
    <sheet name="Monthly KP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<sst xmlns="http://schemas.openxmlformats.org/spreadsheetml/2006/main" count="165" uniqueCount="125">
  <si>
    <t xml:space="preserve">JOB COSTING TRACKER</t>
  </si>
  <si>
    <t xml:space="preserve">Instructions: Enter job details in BLUE cells. All calculations update automatically.</t>
  </si>
  <si>
    <t xml:space="preserve">Job ID</t>
  </si>
  <si>
    <t xml:space="preserve">Customer Name</t>
  </si>
  <si>
    <t xml:space="preserve">Service Type</t>
  </si>
  <si>
    <t xml:space="preserve">Job Date</t>
  </si>
  <si>
    <t xml:space="preserve">Labor Hours</t>
  </si>
  <si>
    <t xml:space="preserve">Labor Rate ($/hr)</t>
  </si>
  <si>
    <t xml:space="preserve">Labor Cost</t>
  </si>
  <si>
    <t xml:space="preserve">Material Cost</t>
  </si>
  <si>
    <t xml:space="preserve">Job Revenue</t>
  </si>
  <si>
    <t xml:space="preserve">Gross Margin $</t>
  </si>
  <si>
    <t xml:space="preserve">Gross Margin %</t>
  </si>
  <si>
    <t xml:space="preserve">MONTHLY SUMMARY</t>
  </si>
  <si>
    <t xml:space="preserve">Total Jobs Completed:</t>
  </si>
  <si>
    <t xml:space="preserve">Total Revenue:</t>
  </si>
  <si>
    <t xml:space="preserve">Total Labor Cost:</t>
  </si>
  <si>
    <t xml:space="preserve">Total Material Cost:</t>
  </si>
  <si>
    <t xml:space="preserve">Total Labor Hours:</t>
  </si>
  <si>
    <t xml:space="preserve">Total Gross Margin $:</t>
  </si>
  <si>
    <t xml:space="preserve">Average Gross Margin %:</t>
  </si>
  <si>
    <t xml:space="preserve">Avg Revenue per Job:</t>
  </si>
  <si>
    <t xml:space="preserve">Avg Labor Cost per Job:</t>
  </si>
  <si>
    <t xml:space="preserve">CUSTOMER LIFETIME VALUE TRACKER</t>
  </si>
  <si>
    <t xml:space="preserve">Instructions: Enter customer data in BLUE cells. Repeat rate and LTV calculate automatically.</t>
  </si>
  <si>
    <t xml:space="preserve">Customer ID</t>
  </si>
  <si>
    <t xml:space="preserve">Acquisition Date</t>
  </si>
  <si>
    <t xml:space="preserve">Total Jobs</t>
  </si>
  <si>
    <t xml:space="preserve">Total Revenue (LTV)</t>
  </si>
  <si>
    <t xml:space="preserve">Last Service Date</t>
  </si>
  <si>
    <t xml:space="preserve">Repeat Customer?</t>
  </si>
  <si>
    <t xml:space="preserve">Days Since Service</t>
  </si>
  <si>
    <t xml:space="preserve">CUSTOMER METRICS SUMMARY</t>
  </si>
  <si>
    <t xml:space="preserve">Total Customers Tracked:</t>
  </si>
  <si>
    <t xml:space="preserve">Repeat Customers:</t>
  </si>
  <si>
    <t xml:space="preserve">Repeat Customer Rate:</t>
  </si>
  <si>
    <t xml:space="preserve">Total Revenue (All Customers):</t>
  </si>
  <si>
    <t xml:space="preserve">Average Customer LTV:</t>
  </si>
  <si>
    <t xml:space="preserve">Average Jobs per Customer:</t>
  </si>
  <si>
    <t xml:space="preserve">Repeat Customer LTV:</t>
  </si>
  <si>
    <t xml:space="preserve">Single-Purchase Customer LTV:</t>
  </si>
  <si>
    <t xml:space="preserve">PRICING &amp; PRODUCT MASTER</t>
  </si>
  <si>
    <t xml:space="preserve">Instructions: Define all service packages, products, and pricing tiers here.</t>
  </si>
  <si>
    <t xml:space="preserve">Product/Service</t>
  </si>
  <si>
    <t xml:space="preserve">Category</t>
  </si>
  <si>
    <t xml:space="preserve">Supplier</t>
  </si>
  <si>
    <t xml:space="preserve">Cost (COGS)</t>
  </si>
  <si>
    <t xml:space="preserve">List Price</t>
  </si>
  <si>
    <t xml:space="preserve">Markup %</t>
  </si>
  <si>
    <t xml:space="preserve">Unit</t>
  </si>
  <si>
    <t xml:space="preserve">Status</t>
  </si>
  <si>
    <t xml:space="preserve">Boiler Installation - Standard</t>
  </si>
  <si>
    <t xml:space="preserve">Boiler</t>
  </si>
  <si>
    <t xml:space="preserve">WCI</t>
  </si>
  <si>
    <t xml:space="preserve">Each</t>
  </si>
  <si>
    <t xml:space="preserve">Active</t>
  </si>
  <si>
    <t xml:space="preserve">Boiler Installation - Premium</t>
  </si>
  <si>
    <t xml:space="preserve">Service Call - Diagnostic</t>
  </si>
  <si>
    <t xml:space="preserve">Service</t>
  </si>
  <si>
    <t xml:space="preserve">Internal</t>
  </si>
  <si>
    <t xml:space="preserve">Call</t>
  </si>
  <si>
    <t xml:space="preserve">Service Call - Repair</t>
  </si>
  <si>
    <t xml:space="preserve">Annual Maintenance Contract</t>
  </si>
  <si>
    <t xml:space="preserve">Year</t>
  </si>
  <si>
    <t xml:space="preserve">Solar Installation - 5kW</t>
  </si>
  <si>
    <t xml:space="preserve">Solar</t>
  </si>
  <si>
    <t xml:space="preserve">Solartech</t>
  </si>
  <si>
    <t xml:space="preserve">Solar Installation - 10kW</t>
  </si>
  <si>
    <t xml:space="preserve">Solar Monitoring Service</t>
  </si>
  <si>
    <t xml:space="preserve">Month</t>
  </si>
  <si>
    <t xml:space="preserve">Water Heater Replacement</t>
  </si>
  <si>
    <t xml:space="preserve">Water</t>
  </si>
  <si>
    <t xml:space="preserve">Emergency After-Hours Call</t>
  </si>
  <si>
    <t xml:space="preserve">PRICING STRATEGY &amp; ASSUMPTIONS</t>
  </si>
  <si>
    <t xml:space="preserve">Standard Labor Rate ($/hour):</t>
  </si>
  <si>
    <t xml:space="preserve">Service Call Markup Target:</t>
  </si>
  <si>
    <t xml:space="preserve">Product Markup Target:</t>
  </si>
  <si>
    <t xml:space="preserve">Minimum Job Gross Margin %:</t>
  </si>
  <si>
    <t xml:space="preserve">SALES PIPELINE &amp; LEADS TRACKER</t>
  </si>
  <si>
    <t xml:space="preserve">Instructions: Enter lead and opportunity data in BLUE cells. Pipeline value calculates automatically.</t>
  </si>
  <si>
    <t xml:space="preserve">Lead ID</t>
  </si>
  <si>
    <t xml:space="preserve">Lead Name</t>
  </si>
  <si>
    <t xml:space="preserve">Lead Source</t>
  </si>
  <si>
    <t xml:space="preserve">Service Interest</t>
  </si>
  <si>
    <t xml:space="preserve">Estimated Value</t>
  </si>
  <si>
    <t xml:space="preserve">Probability %</t>
  </si>
  <si>
    <t xml:space="preserve">Weighted Value</t>
  </si>
  <si>
    <t xml:space="preserve">Days in Pipeline</t>
  </si>
  <si>
    <t xml:space="preserve">PIPELINE SUMMARY</t>
  </si>
  <si>
    <t xml:space="preserve">Total Leads:</t>
  </si>
  <si>
    <t xml:space="preserve">Total Pipeline Value (Unweighted):</t>
  </si>
  <si>
    <t xml:space="preserve">Total Weighted Pipeline Value:</t>
  </si>
  <si>
    <t xml:space="preserve">Average Deal Value:</t>
  </si>
  <si>
    <t xml:space="preserve">Average Probability:</t>
  </si>
  <si>
    <t xml:space="preserve">Average Days in Pipeline:</t>
  </si>
  <si>
    <t xml:space="preserve">HIPPOS - MONTHLY KPI DASHBOARD</t>
  </si>
  <si>
    <t xml:space="preserve">Report Month: </t>
  </si>
  <si>
    <t xml:space="preserve">KEY ASSUMPTIONS</t>
  </si>
  <si>
    <t xml:space="preserve">Customer Acquisition Cost (CAC):</t>
  </si>
  <si>
    <t xml:space="preserve">Avg Labor Cost per Hour:</t>
  </si>
  <si>
    <t xml:space="preserve">Target Gross Margin %:</t>
  </si>
  <si>
    <t xml:space="preserve">Total Monthly Overhead ($):</t>
  </si>
  <si>
    <t xml:space="preserve">REVENUE METRICS</t>
  </si>
  <si>
    <t xml:space="preserve">Revenue from New Customers:</t>
  </si>
  <si>
    <t xml:space="preserve">Revenue from Repeat Customers:</t>
  </si>
  <si>
    <t xml:space="preserve">Repeat Revenue %:</t>
  </si>
  <si>
    <t xml:space="preserve">Average Revenue per Job:</t>
  </si>
  <si>
    <t xml:space="preserve">Revenue per Technician:</t>
  </si>
  <si>
    <t xml:space="preserve">PROFITABILITY METRICS</t>
  </si>
  <si>
    <t xml:space="preserve">Gross Profit:</t>
  </si>
  <si>
    <t xml:space="preserve">Gross Margin %:</t>
  </si>
  <si>
    <t xml:space="preserve">Labor Cost % of Revenue:</t>
  </si>
  <si>
    <t xml:space="preserve">Material Cost % of Revenue:</t>
  </si>
  <si>
    <t xml:space="preserve">Operating Profit (before overhead):</t>
  </si>
  <si>
    <t xml:space="preserve">Net Profit (after overhead):</t>
  </si>
  <si>
    <t xml:space="preserve">Net Margin %:</t>
  </si>
  <si>
    <t xml:space="preserve">CUSTOMER METRICS</t>
  </si>
  <si>
    <t xml:space="preserve">New Customers Acquired:</t>
  </si>
  <si>
    <t xml:space="preserve">Total Customers (active):</t>
  </si>
  <si>
    <t xml:space="preserve">LTV:CAC Ratio:</t>
  </si>
  <si>
    <t xml:space="preserve">Payback Period (months):</t>
  </si>
  <si>
    <t xml:space="preserve">OPERATIONAL METRICS</t>
  </si>
  <si>
    <t xml:space="preserve">First-Time Fix Rate:</t>
  </si>
  <si>
    <t xml:space="preserve">On-Time Completion Rate:</t>
  </si>
  <si>
    <t xml:space="preserve">Customer Satisfaction (NPS):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</si>
</sst>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.0"/>
    <numFmt numFmtId="167" formatCode="\$#,##0;&quot;($&quot;#,##0\);\-"/>
    <numFmt numFmtId="168" formatCode="0.0%"/>
    <numFmt numFmtId="169" formatCode="0"/>
    <numFmt numFmtId="170" formatCode="0%"/>
    <numFmt numFmtId="171" formatCode="yyyy\-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11" min="7" style="1" width="1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6.2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customFormat="false" ht="15" hidden="false" customHeight="true" outlineLevel="0" collapsed="false">
      <c r="A6" s="5"/>
      <c r="B6" s="5"/>
      <c r="C6" s="5"/>
      <c r="D6" s="6"/>
      <c r="E6" s="7"/>
      <c r="F6" s="8"/>
      <c r="G6" s="9" t="str">
        <f aca="false">IF(AND(E6&lt;&gt;"",F6&lt;&gt;""),E6*F6,"")</f>
        <v/>
      </c>
      <c r="H6" s="8"/>
      <c r="I6" s="8"/>
      <c r="J6" s="9" t="str">
        <f aca="false">IF(I6&lt;&gt;"",I6-(G6+H6),"")</f>
        <v/>
      </c>
      <c r="K6" s="10" t="str">
        <f aca="false">IF(AND(I6&lt;&gt;"",J6&lt;&gt;""),J6/I6,"")</f>
        <v/>
      </c>
    </row>
    <row r="7" customFormat="false" ht="15" hidden="false" customHeight="true" outlineLevel="0" collapsed="false">
      <c r="A7" s="5"/>
      <c r="B7" s="5"/>
      <c r="C7" s="5"/>
      <c r="D7" s="6"/>
      <c r="E7" s="7"/>
      <c r="F7" s="8"/>
      <c r="G7" s="9" t="str">
        <f aca="false">IF(AND(E7&lt;&gt;"",F7&lt;&gt;""),E7*F7,"")</f>
        <v/>
      </c>
      <c r="H7" s="8"/>
      <c r="I7" s="8"/>
      <c r="J7" s="9" t="str">
        <f aca="false">IF(I7&lt;&gt;"",I7-(G7+H7),"")</f>
        <v/>
      </c>
      <c r="K7" s="10" t="str">
        <f aca="false">IF(AND(I7&lt;&gt;"",J7&lt;&gt;""),J7/I7,"")</f>
        <v/>
      </c>
    </row>
    <row r="8" customFormat="false" ht="15" hidden="false" customHeight="true" outlineLevel="0" collapsed="false">
      <c r="A8" s="5"/>
      <c r="B8" s="5"/>
      <c r="C8" s="5"/>
      <c r="D8" s="6"/>
      <c r="E8" s="7"/>
      <c r="F8" s="8"/>
      <c r="G8" s="9" t="str">
        <f aca="false">IF(AND(E8&lt;&gt;"",F8&lt;&gt;""),E8*F8,"")</f>
        <v/>
      </c>
      <c r="H8" s="8"/>
      <c r="I8" s="8"/>
      <c r="J8" s="9" t="str">
        <f aca="false">IF(I8&lt;&gt;"",I8-(G8+H8),"")</f>
        <v/>
      </c>
      <c r="K8" s="10" t="str">
        <f aca="false">IF(AND(I8&lt;&gt;"",J8&lt;&gt;""),J8/I8,"")</f>
        <v/>
      </c>
    </row>
    <row r="9" customFormat="false" ht="15" hidden="false" customHeight="true" outlineLevel="0" collapsed="false">
      <c r="A9" s="5"/>
      <c r="B9" s="5"/>
      <c r="C9" s="5"/>
      <c r="D9" s="6"/>
      <c r="E9" s="7"/>
      <c r="F9" s="8"/>
      <c r="G9" s="9" t="str">
        <f aca="false">IF(AND(E9&lt;&gt;"",F9&lt;&gt;""),E9*F9,"")</f>
        <v/>
      </c>
      <c r="H9" s="8"/>
      <c r="I9" s="8"/>
      <c r="J9" s="9" t="str">
        <f aca="false">IF(I9&lt;&gt;"",I9-(G9+H9),"")</f>
        <v/>
      </c>
      <c r="K9" s="10" t="str">
        <f aca="false">IF(AND(I9&lt;&gt;"",J9&lt;&gt;""),J9/I9,"")</f>
        <v/>
      </c>
    </row>
    <row r="10" customFormat="false" ht="15" hidden="false" customHeight="true" outlineLevel="0" collapsed="false">
      <c r="A10" s="5"/>
      <c r="B10" s="5"/>
      <c r="C10" s="5"/>
      <c r="D10" s="6"/>
      <c r="E10" s="7"/>
      <c r="F10" s="8"/>
      <c r="G10" s="9" t="str">
        <f aca="false">IF(AND(E10&lt;&gt;"",F10&lt;&gt;""),E10*F10,"")</f>
        <v/>
      </c>
      <c r="H10" s="8"/>
      <c r="I10" s="8"/>
      <c r="J10" s="9" t="str">
        <f aca="false">IF(I10&lt;&gt;"",I10-(G10+H10),"")</f>
        <v/>
      </c>
      <c r="K10" s="10" t="str">
        <f aca="false">IF(AND(I10&lt;&gt;"",J10&lt;&gt;""),J10/I10,"")</f>
        <v/>
      </c>
    </row>
    <row r="11" customFormat="false" ht="15" hidden="false" customHeight="true" outlineLevel="0" collapsed="false">
      <c r="A11" s="5"/>
      <c r="B11" s="5"/>
      <c r="C11" s="5"/>
      <c r="D11" s="6"/>
      <c r="E11" s="7"/>
      <c r="F11" s="8"/>
      <c r="G11" s="9" t="str">
        <f aca="false">IF(AND(E11&lt;&gt;"",F11&lt;&gt;""),E11*F11,"")</f>
        <v/>
      </c>
      <c r="H11" s="8"/>
      <c r="I11" s="8"/>
      <c r="J11" s="9" t="str">
        <f aca="false">IF(I11&lt;&gt;"",I11-(G11+H11),"")</f>
        <v/>
      </c>
      <c r="K11" s="10" t="str">
        <f aca="false">IF(AND(I11&lt;&gt;"",J11&lt;&gt;""),J11/I11,"")</f>
        <v/>
      </c>
    </row>
    <row r="12" customFormat="false" ht="15" hidden="false" customHeight="true" outlineLevel="0" collapsed="false">
      <c r="A12" s="5"/>
      <c r="B12" s="5"/>
      <c r="C12" s="5"/>
      <c r="D12" s="6"/>
      <c r="E12" s="7"/>
      <c r="F12" s="8"/>
      <c r="G12" s="9" t="str">
        <f aca="false">IF(AND(E12&lt;&gt;"",F12&lt;&gt;""),E12*F12,"")</f>
        <v/>
      </c>
      <c r="H12" s="8"/>
      <c r="I12" s="8"/>
      <c r="J12" s="9" t="str">
        <f aca="false">IF(I12&lt;&gt;"",I12-(G12+H12),"")</f>
        <v/>
      </c>
      <c r="K12" s="10" t="str">
        <f aca="false">IF(AND(I12&lt;&gt;"",J12&lt;&gt;""),J12/I12,"")</f>
        <v/>
      </c>
    </row>
    <row r="13" customFormat="false" ht="15" hidden="false" customHeight="true" outlineLevel="0" collapsed="false">
      <c r="A13" s="5"/>
      <c r="B13" s="5"/>
      <c r="C13" s="5"/>
      <c r="D13" s="6"/>
      <c r="E13" s="7"/>
      <c r="F13" s="8"/>
      <c r="G13" s="9" t="str">
        <f aca="false">IF(AND(E13&lt;&gt;"",F13&lt;&gt;""),E13*F13,"")</f>
        <v/>
      </c>
      <c r="H13" s="8"/>
      <c r="I13" s="8"/>
      <c r="J13" s="9" t="str">
        <f aca="false">IF(I13&lt;&gt;"",I13-(G13+H13),"")</f>
        <v/>
      </c>
      <c r="K13" s="10" t="str">
        <f aca="false">IF(AND(I13&lt;&gt;"",J13&lt;&gt;""),J13/I13,"")</f>
        <v/>
      </c>
    </row>
    <row r="14" customFormat="false" ht="15" hidden="false" customHeight="true" outlineLevel="0" collapsed="false">
      <c r="A14" s="5"/>
      <c r="B14" s="5"/>
      <c r="C14" s="5"/>
      <c r="D14" s="6"/>
      <c r="E14" s="7"/>
      <c r="F14" s="8"/>
      <c r="G14" s="9" t="str">
        <f aca="false">IF(AND(E14&lt;&gt;"",F14&lt;&gt;""),E14*F14,"")</f>
        <v/>
      </c>
      <c r="H14" s="8"/>
      <c r="I14" s="8"/>
      <c r="J14" s="9" t="str">
        <f aca="false">IF(I14&lt;&gt;"",I14-(G14+H14),"")</f>
        <v/>
      </c>
      <c r="K14" s="10" t="str">
        <f aca="false">IF(AND(I14&lt;&gt;"",J14&lt;&gt;""),J14/I14,"")</f>
        <v/>
      </c>
    </row>
    <row r="15" customFormat="false" ht="15" hidden="false" customHeight="true" outlineLevel="0" collapsed="false">
      <c r="A15" s="5"/>
      <c r="B15" s="5"/>
      <c r="C15" s="5"/>
      <c r="D15" s="6"/>
      <c r="E15" s="7"/>
      <c r="F15" s="8"/>
      <c r="G15" s="9" t="str">
        <f aca="false">IF(AND(E15&lt;&gt;"",F15&lt;&gt;""),E15*F15,"")</f>
        <v/>
      </c>
      <c r="H15" s="8"/>
      <c r="I15" s="8"/>
      <c r="J15" s="9" t="str">
        <f aca="false">IF(I15&lt;&gt;"",I15-(G15+H15),"")</f>
        <v/>
      </c>
      <c r="K15" s="10" t="str">
        <f aca="false">IF(AND(I15&lt;&gt;"",J15&lt;&gt;""),J15/I15,"")</f>
        <v/>
      </c>
    </row>
    <row r="18" customFormat="false" ht="15" hidden="false" customHeight="true" outlineLevel="0" collapsed="false">
      <c r="A18" s="11" t="s">
        <v>13</v>
      </c>
    </row>
    <row r="19" customFormat="false" ht="15" hidden="false" customHeight="true" outlineLevel="0" collapsed="false">
      <c r="A19" s="12" t="s">
        <v>14</v>
      </c>
      <c r="B19" s="13" t="n">
        <f aca="false">COUNTA(A6:A15)</f>
        <v>0</v>
      </c>
    </row>
    <row r="20" customFormat="false" ht="15" hidden="false" customHeight="true" outlineLevel="0" collapsed="false">
      <c r="A20" s="12" t="s">
        <v>15</v>
      </c>
      <c r="B20" s="9" t="n">
        <f aca="false">SUM(I6:I15)</f>
        <v>0</v>
      </c>
    </row>
    <row r="21" customFormat="false" ht="15" hidden="false" customHeight="true" outlineLevel="0" collapsed="false">
      <c r="A21" s="12" t="s">
        <v>16</v>
      </c>
      <c r="B21" s="9" t="n">
        <f aca="false">SUM(G6:G15)</f>
        <v>0</v>
      </c>
    </row>
    <row r="22" customFormat="false" ht="15" hidden="false" customHeight="true" outlineLevel="0" collapsed="false">
      <c r="A22" s="12" t="s">
        <v>17</v>
      </c>
      <c r="B22" s="9" t="n">
        <f aca="false">SUM(H6:H15)</f>
        <v>0</v>
      </c>
    </row>
    <row r="23" customFormat="false" ht="15" hidden="false" customHeight="true" outlineLevel="0" collapsed="false">
      <c r="A23" s="12" t="s">
        <v>18</v>
      </c>
      <c r="B23" s="14" t="n">
        <f aca="false">SUM(E6:E15)</f>
        <v>0</v>
      </c>
    </row>
    <row r="24" customFormat="false" ht="15" hidden="false" customHeight="true" outlineLevel="0" collapsed="false">
      <c r="A24" s="12" t="s">
        <v>19</v>
      </c>
      <c r="B24" s="9" t="n">
        <f aca="false">SUM(J6:J15)</f>
        <v>0</v>
      </c>
    </row>
    <row r="25" customFormat="false" ht="15" hidden="false" customHeight="true" outlineLevel="0" collapsed="false">
      <c r="A25" s="12" t="s">
        <v>20</v>
      </c>
      <c r="B25" s="9" t="str">
        <f aca="false">IF(B20&lt;&gt;0,B24/B20,"")</f>
        <v/>
      </c>
    </row>
    <row r="26" customFormat="false" ht="15" hidden="false" customHeight="true" outlineLevel="0" collapsed="false">
      <c r="A26" s="12" t="s">
        <v>21</v>
      </c>
      <c r="B26" s="9" t="str">
        <f aca="false">IF(B19&lt;&gt;0,B20/B19,"")</f>
        <v/>
      </c>
    </row>
    <row r="27" customFormat="false" ht="15" hidden="false" customHeight="true" outlineLevel="0" collapsed="false">
      <c r="A27" s="12" t="s">
        <v>22</v>
      </c>
      <c r="B27" s="9" t="str">
        <f aca="false">IF(B19&lt;&gt;0,B21/B19,"")</f>
        <v/>
      </c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8" min="6" style="1" width="16"/>
  </cols>
  <sheetData>
    <row r="1" customFormat="false" ht="17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5" customFormat="false" ht="26.25" hidden="false" customHeight="true" outlineLevel="0" collapsed="false">
      <c r="A5" s="4" t="s">
        <v>25</v>
      </c>
      <c r="B5" s="4" t="s">
        <v>3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</row>
    <row r="6" customFormat="false" ht="15" hidden="false" customHeight="true" outlineLevel="0" collapsed="false">
      <c r="A6" s="5"/>
      <c r="B6" s="5"/>
      <c r="C6" s="6"/>
      <c r="D6" s="15"/>
      <c r="E6" s="8"/>
      <c r="F6" s="6"/>
      <c r="G6" s="13" t="str">
        <f aca="false">IF(D6&gt;1,"Yes",IF(D6=1,"No",""))</f>
        <v/>
      </c>
      <c r="H6" s="16" t="str">
        <f aca="true">IF(F6&lt;&gt;"",TODAY()-F6,"")</f>
        <v/>
      </c>
    </row>
    <row r="7" customFormat="false" ht="15" hidden="false" customHeight="true" outlineLevel="0" collapsed="false">
      <c r="A7" s="5"/>
      <c r="B7" s="5"/>
      <c r="C7" s="6"/>
      <c r="D7" s="15"/>
      <c r="E7" s="8"/>
      <c r="F7" s="6"/>
      <c r="G7" s="13" t="str">
        <f aca="false">IF(D7&gt;1,"Yes",IF(D7=1,"No",""))</f>
        <v/>
      </c>
      <c r="H7" s="16" t="str">
        <f aca="true">IF(F7&lt;&gt;"",TODAY()-F7,"")</f>
        <v/>
      </c>
    </row>
    <row r="8" customFormat="false" ht="15" hidden="false" customHeight="true" outlineLevel="0" collapsed="false">
      <c r="A8" s="5"/>
      <c r="B8" s="5"/>
      <c r="C8" s="6"/>
      <c r="D8" s="15"/>
      <c r="E8" s="8"/>
      <c r="F8" s="6"/>
      <c r="G8" s="13" t="str">
        <f aca="false">IF(D8&gt;1,"Yes",IF(D8=1,"No",""))</f>
        <v/>
      </c>
      <c r="H8" s="16" t="str">
        <f aca="true">IF(F8&lt;&gt;"",TODAY()-F8,"")</f>
        <v/>
      </c>
    </row>
    <row r="9" customFormat="false" ht="15" hidden="false" customHeight="true" outlineLevel="0" collapsed="false">
      <c r="A9" s="5"/>
      <c r="B9" s="5"/>
      <c r="C9" s="6"/>
      <c r="D9" s="15"/>
      <c r="E9" s="8"/>
      <c r="F9" s="6"/>
      <c r="G9" s="13" t="str">
        <f aca="false">IF(D9&gt;1,"Yes",IF(D9=1,"No",""))</f>
        <v/>
      </c>
      <c r="H9" s="16" t="str">
        <f aca="true">IF(F9&lt;&gt;"",TODAY()-F9,"")</f>
        <v/>
      </c>
    </row>
    <row r="10" customFormat="false" ht="15" hidden="false" customHeight="true" outlineLevel="0" collapsed="false">
      <c r="A10" s="5"/>
      <c r="B10" s="5"/>
      <c r="C10" s="6"/>
      <c r="D10" s="15"/>
      <c r="E10" s="8"/>
      <c r="F10" s="6"/>
      <c r="G10" s="13" t="str">
        <f aca="false">IF(D10&gt;1,"Yes",IF(D10=1,"No",""))</f>
        <v/>
      </c>
      <c r="H10" s="16" t="str">
        <f aca="true">IF(F10&lt;&gt;"",TODAY()-F10,"")</f>
        <v/>
      </c>
    </row>
    <row r="11" customFormat="false" ht="15" hidden="false" customHeight="true" outlineLevel="0" collapsed="false">
      <c r="A11" s="5"/>
      <c r="B11" s="5"/>
      <c r="C11" s="6"/>
      <c r="D11" s="15"/>
      <c r="E11" s="8"/>
      <c r="F11" s="6"/>
      <c r="G11" s="13" t="str">
        <f aca="false">IF(D11&gt;1,"Yes",IF(D11=1,"No",""))</f>
        <v/>
      </c>
      <c r="H11" s="16" t="str">
        <f aca="true">IF(F11&lt;&gt;"",TODAY()-F11,"")</f>
        <v/>
      </c>
    </row>
    <row r="12" customFormat="false" ht="15" hidden="false" customHeight="true" outlineLevel="0" collapsed="false">
      <c r="A12" s="5"/>
      <c r="B12" s="5"/>
      <c r="C12" s="6"/>
      <c r="D12" s="15"/>
      <c r="E12" s="8"/>
      <c r="F12" s="6"/>
      <c r="G12" s="13" t="str">
        <f aca="false">IF(D12&gt;1,"Yes",IF(D12=1,"No",""))</f>
        <v/>
      </c>
      <c r="H12" s="16" t="str">
        <f aca="true">IF(F12&lt;&gt;"",TODAY()-F12,"")</f>
        <v/>
      </c>
    </row>
    <row r="13" customFormat="false" ht="15" hidden="false" customHeight="true" outlineLevel="0" collapsed="false">
      <c r="A13" s="5"/>
      <c r="B13" s="5"/>
      <c r="C13" s="6"/>
      <c r="D13" s="15"/>
      <c r="E13" s="8"/>
      <c r="F13" s="6"/>
      <c r="G13" s="13" t="str">
        <f aca="false">IF(D13&gt;1,"Yes",IF(D13=1,"No",""))</f>
        <v/>
      </c>
      <c r="H13" s="16" t="str">
        <f aca="true">IF(F13&lt;&gt;"",TODAY()-F13,"")</f>
        <v/>
      </c>
    </row>
    <row r="14" customFormat="false" ht="15" hidden="false" customHeight="true" outlineLevel="0" collapsed="false">
      <c r="A14" s="5"/>
      <c r="B14" s="5"/>
      <c r="C14" s="6"/>
      <c r="D14" s="15"/>
      <c r="E14" s="8"/>
      <c r="F14" s="6"/>
      <c r="G14" s="13" t="str">
        <f aca="false">IF(D14&gt;1,"Yes",IF(D14=1,"No",""))</f>
        <v/>
      </c>
      <c r="H14" s="16" t="str">
        <f aca="true">IF(F14&lt;&gt;"",TODAY()-F14,"")</f>
        <v/>
      </c>
    </row>
    <row r="15" customFormat="false" ht="15" hidden="false" customHeight="true" outlineLevel="0" collapsed="false">
      <c r="A15" s="5"/>
      <c r="B15" s="5"/>
      <c r="C15" s="6"/>
      <c r="D15" s="15"/>
      <c r="E15" s="8"/>
      <c r="F15" s="6"/>
      <c r="G15" s="13" t="str">
        <f aca="false">IF(D15&gt;1,"Yes",IF(D15=1,"No",""))</f>
        <v/>
      </c>
      <c r="H15" s="16" t="str">
        <f aca="true">IF(F15&lt;&gt;"",TODAY()-F15,"")</f>
        <v/>
      </c>
    </row>
    <row r="16" customFormat="false" ht="15" hidden="false" customHeight="true" outlineLevel="0" collapsed="false">
      <c r="A16" s="5"/>
      <c r="B16" s="5"/>
      <c r="C16" s="6"/>
      <c r="D16" s="15"/>
      <c r="E16" s="8"/>
      <c r="F16" s="6"/>
      <c r="G16" s="13" t="str">
        <f aca="false">IF(D16&gt;1,"Yes",IF(D16=1,"No",""))</f>
        <v/>
      </c>
      <c r="H16" s="16" t="str">
        <f aca="true">IF(F16&lt;&gt;"",TODAY()-F16,"")</f>
        <v/>
      </c>
    </row>
    <row r="17" customFormat="false" ht="15" hidden="false" customHeight="true" outlineLevel="0" collapsed="false">
      <c r="A17" s="5"/>
      <c r="B17" s="5"/>
      <c r="C17" s="6"/>
      <c r="D17" s="15"/>
      <c r="E17" s="8"/>
      <c r="F17" s="6"/>
      <c r="G17" s="13" t="str">
        <f aca="false">IF(D17&gt;1,"Yes",IF(D17=1,"No",""))</f>
        <v/>
      </c>
      <c r="H17" s="16" t="str">
        <f aca="true">IF(F17&lt;&gt;"",TODAY()-F17,"")</f>
        <v/>
      </c>
    </row>
    <row r="18" customFormat="false" ht="15" hidden="false" customHeight="true" outlineLevel="0" collapsed="false">
      <c r="A18" s="5"/>
      <c r="B18" s="5"/>
      <c r="C18" s="6"/>
      <c r="D18" s="15"/>
      <c r="E18" s="8"/>
      <c r="F18" s="6"/>
      <c r="G18" s="13" t="str">
        <f aca="false">IF(D18&gt;1,"Yes",IF(D18=1,"No",""))</f>
        <v/>
      </c>
      <c r="H18" s="16" t="str">
        <f aca="true">IF(F18&lt;&gt;"",TODAY()-F18,"")</f>
        <v/>
      </c>
    </row>
    <row r="19" customFormat="false" ht="15" hidden="false" customHeight="true" outlineLevel="0" collapsed="false">
      <c r="A19" s="5"/>
      <c r="B19" s="5"/>
      <c r="C19" s="6"/>
      <c r="D19" s="15"/>
      <c r="E19" s="8"/>
      <c r="F19" s="6"/>
      <c r="G19" s="13" t="str">
        <f aca="false">IF(D19&gt;1,"Yes",IF(D19=1,"No",""))</f>
        <v/>
      </c>
      <c r="H19" s="16" t="str">
        <f aca="true">IF(F19&lt;&gt;"",TODAY()-F19,"")</f>
        <v/>
      </c>
    </row>
    <row r="20" customFormat="false" ht="15" hidden="false" customHeight="true" outlineLevel="0" collapsed="false">
      <c r="A20" s="5"/>
      <c r="B20" s="5"/>
      <c r="C20" s="6"/>
      <c r="D20" s="15"/>
      <c r="E20" s="8"/>
      <c r="F20" s="6"/>
      <c r="G20" s="13" t="str">
        <f aca="false">IF(D20&gt;1,"Yes",IF(D20=1,"No",""))</f>
        <v/>
      </c>
      <c r="H20" s="16" t="str">
        <f aca="true">IF(F20&lt;&gt;"",TODAY()-F20,"")</f>
        <v/>
      </c>
    </row>
    <row r="21" customFormat="false" ht="15" hidden="false" customHeight="true" outlineLevel="0" collapsed="false">
      <c r="A21" s="5"/>
      <c r="B21" s="5"/>
      <c r="C21" s="6"/>
      <c r="D21" s="15"/>
      <c r="E21" s="8"/>
      <c r="F21" s="6"/>
      <c r="G21" s="13" t="str">
        <f aca="false">IF(D21&gt;1,"Yes",IF(D21=1,"No",""))</f>
        <v/>
      </c>
      <c r="H21" s="16" t="str">
        <f aca="true">IF(F21&lt;&gt;"",TODAY()-F21,"")</f>
        <v/>
      </c>
    </row>
    <row r="22" customFormat="false" ht="15" hidden="false" customHeight="true" outlineLevel="0" collapsed="false">
      <c r="A22" s="5"/>
      <c r="B22" s="5"/>
      <c r="C22" s="6"/>
      <c r="D22" s="15"/>
      <c r="E22" s="8"/>
      <c r="F22" s="6"/>
      <c r="G22" s="13" t="str">
        <f aca="false">IF(D22&gt;1,"Yes",IF(D22=1,"No",""))</f>
        <v/>
      </c>
      <c r="H22" s="16" t="str">
        <f aca="true">IF(F22&lt;&gt;"",TODAY()-F22,"")</f>
        <v/>
      </c>
    </row>
    <row r="23" customFormat="false" ht="15" hidden="false" customHeight="true" outlineLevel="0" collapsed="false">
      <c r="A23" s="5"/>
      <c r="B23" s="5"/>
      <c r="C23" s="6"/>
      <c r="D23" s="15"/>
      <c r="E23" s="8"/>
      <c r="F23" s="6"/>
      <c r="G23" s="13" t="str">
        <f aca="false">IF(D23&gt;1,"Yes",IF(D23=1,"No",""))</f>
        <v/>
      </c>
      <c r="H23" s="16" t="str">
        <f aca="true">IF(F23&lt;&gt;"",TODAY()-F23,"")</f>
        <v/>
      </c>
    </row>
    <row r="24" customFormat="false" ht="15" hidden="false" customHeight="true" outlineLevel="0" collapsed="false">
      <c r="A24" s="5"/>
      <c r="B24" s="5"/>
      <c r="C24" s="6"/>
      <c r="D24" s="15"/>
      <c r="E24" s="8"/>
      <c r="F24" s="6"/>
      <c r="G24" s="13" t="str">
        <f aca="false">IF(D24&gt;1,"Yes",IF(D24=1,"No",""))</f>
        <v/>
      </c>
      <c r="H24" s="16" t="str">
        <f aca="true">IF(F24&lt;&gt;"",TODAY()-F24,"")</f>
        <v/>
      </c>
    </row>
    <row r="25" customFormat="false" ht="15" hidden="false" customHeight="true" outlineLevel="0" collapsed="false">
      <c r="A25" s="5"/>
      <c r="B25" s="5"/>
      <c r="C25" s="6"/>
      <c r="D25" s="15"/>
      <c r="E25" s="8"/>
      <c r="F25" s="6"/>
      <c r="G25" s="13" t="str">
        <f aca="false">IF(D25&gt;1,"Yes",IF(D25=1,"No",""))</f>
        <v/>
      </c>
      <c r="H25" s="16" t="str">
        <f aca="true">IF(F25&lt;&gt;"",TODAY()-F25,"")</f>
        <v/>
      </c>
    </row>
    <row r="28" customFormat="false" ht="15" hidden="false" customHeight="true" outlineLevel="0" collapsed="false">
      <c r="A28" s="11" t="s">
        <v>32</v>
      </c>
    </row>
    <row r="29" customFormat="false" ht="15" hidden="false" customHeight="true" outlineLevel="0" collapsed="false">
      <c r="A29" s="12" t="s">
        <v>33</v>
      </c>
      <c r="B29" s="14" t="n">
        <f aca="false">COUNTA(A6:A25)</f>
        <v>0</v>
      </c>
    </row>
    <row r="30" customFormat="false" ht="15" hidden="false" customHeight="true" outlineLevel="0" collapsed="false">
      <c r="A30" s="12" t="s">
        <v>34</v>
      </c>
      <c r="B30" s="14" t="n">
        <f aca="false">COUNTIF(G6:G25,"Yes")</f>
        <v>0</v>
      </c>
    </row>
    <row r="31" customFormat="false" ht="15" hidden="false" customHeight="true" outlineLevel="0" collapsed="false">
      <c r="A31" s="12" t="s">
        <v>35</v>
      </c>
      <c r="B31" s="10" t="str">
        <f aca="false">IF(B29&lt;&gt;0,B30/B29,"")</f>
        <v/>
      </c>
    </row>
    <row r="32" customFormat="false" ht="15" hidden="false" customHeight="true" outlineLevel="0" collapsed="false">
      <c r="A32" s="12" t="s">
        <v>36</v>
      </c>
      <c r="B32" s="9" t="n">
        <f aca="false">SUM(E6:E25)</f>
        <v>0</v>
      </c>
    </row>
    <row r="33" customFormat="false" ht="15" hidden="false" customHeight="true" outlineLevel="0" collapsed="false">
      <c r="A33" s="12" t="s">
        <v>37</v>
      </c>
      <c r="B33" s="9" t="str">
        <f aca="false">IF(B29&lt;&gt;0,B32/B29,"")</f>
        <v/>
      </c>
    </row>
    <row r="34" customFormat="false" ht="15" hidden="false" customHeight="true" outlineLevel="0" collapsed="false">
      <c r="A34" s="12" t="s">
        <v>38</v>
      </c>
      <c r="B34" s="14" t="str">
        <f aca="false">IF(B29&lt;&gt;0,SUM(D6:D25)/B29,"")</f>
        <v/>
      </c>
    </row>
    <row r="35" customFormat="false" ht="15" hidden="false" customHeight="true" outlineLevel="0" collapsed="false">
      <c r="A35" s="12" t="s">
        <v>39</v>
      </c>
      <c r="B35" s="9" t="str">
        <f aca="false">IFERROR(AVERAGEIF(G6:G25,"Yes",E6:E25),"-")</f>
        <v>-</v>
      </c>
    </row>
    <row r="36" customFormat="false" ht="15" hidden="false" customHeight="true" outlineLevel="0" collapsed="false">
      <c r="A36" s="12" t="s">
        <v>40</v>
      </c>
      <c r="B36" s="9" t="str">
        <f aca="false">IFERROR(AVERAGEIF(G6:G25,"No",E6:E25),"-")</f>
        <v>-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42</v>
      </c>
      <c r="B3" s="3"/>
      <c r="C3" s="3"/>
      <c r="D3" s="3"/>
      <c r="E3" s="3"/>
      <c r="F3" s="3"/>
      <c r="G3" s="3"/>
      <c r="H3" s="3"/>
    </row>
    <row r="5" customFormat="false" ht="26.25" hidden="false" customHeight="true" outlineLevel="0" collapsed="false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</row>
    <row r="6" customFormat="false" ht="15" hidden="false" customHeight="true" outlineLevel="0" collapsed="false">
      <c r="A6" s="5" t="s">
        <v>51</v>
      </c>
      <c r="B6" s="5" t="s">
        <v>52</v>
      </c>
      <c r="C6" s="5" t="s">
        <v>53</v>
      </c>
      <c r="D6" s="8" t="n">
        <v>1200</v>
      </c>
      <c r="E6" s="8" t="n">
        <v>3500</v>
      </c>
      <c r="F6" s="10" t="n">
        <f aca="false">IF(AND(D6&lt;&gt;"",E6&lt;&gt;""),IF(D6=0,"N/A",(E6-D6)/D6),"N/A")</f>
        <v>1.91666666666667</v>
      </c>
      <c r="G6" s="5" t="s">
        <v>54</v>
      </c>
      <c r="H6" s="5" t="s">
        <v>55</v>
      </c>
    </row>
    <row r="7" customFormat="false" ht="15" hidden="false" customHeight="true" outlineLevel="0" collapsed="false">
      <c r="A7" s="5" t="s">
        <v>56</v>
      </c>
      <c r="B7" s="5" t="s">
        <v>52</v>
      </c>
      <c r="C7" s="5" t="s">
        <v>53</v>
      </c>
      <c r="D7" s="8" t="n">
        <v>1800</v>
      </c>
      <c r="E7" s="8" t="n">
        <v>5000</v>
      </c>
      <c r="F7" s="10" t="n">
        <f aca="false">IF(AND(D7&lt;&gt;"",E7&lt;&gt;""),IF(D7=0,"N/A",(E7-D7)/D7),"N/A")</f>
        <v>1.77777777777778</v>
      </c>
      <c r="G7" s="5" t="s">
        <v>54</v>
      </c>
      <c r="H7" s="5" t="s">
        <v>55</v>
      </c>
    </row>
    <row r="8" customFormat="false" ht="15" hidden="false" customHeight="true" outlineLevel="0" collapsed="false">
      <c r="A8" s="5" t="s">
        <v>57</v>
      </c>
      <c r="B8" s="5" t="s">
        <v>58</v>
      </c>
      <c r="C8" s="5" t="s">
        <v>59</v>
      </c>
      <c r="D8" s="8" t="n">
        <v>0</v>
      </c>
      <c r="E8" s="8" t="n">
        <v>150</v>
      </c>
      <c r="F8" s="10" t="str">
        <f aca="false">IF(AND(D8&lt;&gt;"",E8&lt;&gt;""),IF(D8=0,"N/A",(E8-D8)/D8),"N/A")</f>
        <v>N/A</v>
      </c>
      <c r="G8" s="5" t="s">
        <v>60</v>
      </c>
      <c r="H8" s="5" t="s">
        <v>55</v>
      </c>
    </row>
    <row r="9" customFormat="false" ht="15" hidden="false" customHeight="true" outlineLevel="0" collapsed="false">
      <c r="A9" s="5" t="s">
        <v>61</v>
      </c>
      <c r="B9" s="5" t="s">
        <v>58</v>
      </c>
      <c r="C9" s="5" t="s">
        <v>59</v>
      </c>
      <c r="D9" s="8" t="n">
        <v>0</v>
      </c>
      <c r="E9" s="8" t="n">
        <v>250</v>
      </c>
      <c r="F9" s="10" t="str">
        <f aca="false">IF(AND(D9&lt;&gt;"",E9&lt;&gt;""),IF(D9=0,"N/A",(E9-D9)/D9),"N/A")</f>
        <v>N/A</v>
      </c>
      <c r="G9" s="5" t="s">
        <v>60</v>
      </c>
      <c r="H9" s="5" t="s">
        <v>55</v>
      </c>
    </row>
    <row r="10" customFormat="false" ht="15" hidden="false" customHeight="true" outlineLevel="0" collapsed="false">
      <c r="A10" s="5" t="s">
        <v>62</v>
      </c>
      <c r="B10" s="5" t="s">
        <v>58</v>
      </c>
      <c r="C10" s="5" t="s">
        <v>59</v>
      </c>
      <c r="D10" s="8" t="n">
        <v>0</v>
      </c>
      <c r="E10" s="8" t="n">
        <v>500</v>
      </c>
      <c r="F10" s="10" t="str">
        <f aca="false">IF(AND(D10&lt;&gt;"",E10&lt;&gt;""),IF(D10=0,"N/A",(E10-D10)/D10),"N/A")</f>
        <v>N/A</v>
      </c>
      <c r="G10" s="5" t="s">
        <v>63</v>
      </c>
      <c r="H10" s="5" t="s">
        <v>55</v>
      </c>
    </row>
    <row r="11" customFormat="false" ht="15" hidden="false" customHeight="true" outlineLevel="0" collapsed="false">
      <c r="A11" s="5" t="s">
        <v>64</v>
      </c>
      <c r="B11" s="5" t="s">
        <v>65</v>
      </c>
      <c r="C11" s="5" t="s">
        <v>66</v>
      </c>
      <c r="D11" s="8" t="n">
        <v>4500</v>
      </c>
      <c r="E11" s="8" t="n">
        <v>12000</v>
      </c>
      <c r="F11" s="10" t="n">
        <f aca="false">IF(AND(D11&lt;&gt;"",E11&lt;&gt;""),IF(D11=0,"N/A",(E11-D11)/D11),"N/A")</f>
        <v>1.66666666666667</v>
      </c>
      <c r="G11" s="5" t="s">
        <v>54</v>
      </c>
      <c r="H11" s="5" t="s">
        <v>55</v>
      </c>
    </row>
    <row r="12" customFormat="false" ht="15" hidden="false" customHeight="true" outlineLevel="0" collapsed="false">
      <c r="A12" s="5" t="s">
        <v>67</v>
      </c>
      <c r="B12" s="5" t="s">
        <v>65</v>
      </c>
      <c r="C12" s="5" t="s">
        <v>66</v>
      </c>
      <c r="D12" s="8" t="n">
        <v>8500</v>
      </c>
      <c r="E12" s="8" t="n">
        <v>22000</v>
      </c>
      <c r="F12" s="10" t="n">
        <f aca="false">IF(AND(D12&lt;&gt;"",E12&lt;&gt;""),IF(D12=0,"N/A",(E12-D12)/D12),"N/A")</f>
        <v>1.58823529411765</v>
      </c>
      <c r="G12" s="5" t="s">
        <v>54</v>
      </c>
      <c r="H12" s="5" t="s">
        <v>55</v>
      </c>
    </row>
    <row r="13" customFormat="false" ht="15" hidden="false" customHeight="true" outlineLevel="0" collapsed="false">
      <c r="A13" s="5" t="s">
        <v>68</v>
      </c>
      <c r="B13" s="5" t="s">
        <v>65</v>
      </c>
      <c r="C13" s="5" t="s">
        <v>59</v>
      </c>
      <c r="D13" s="8" t="n">
        <v>0</v>
      </c>
      <c r="E13" s="8" t="n">
        <v>100</v>
      </c>
      <c r="F13" s="10" t="str">
        <f aca="false">IF(AND(D13&lt;&gt;"",E13&lt;&gt;""),IF(D13=0,"N/A",(E13-D13)/D13),"N/A")</f>
        <v>N/A</v>
      </c>
      <c r="G13" s="5" t="s">
        <v>69</v>
      </c>
      <c r="H13" s="5" t="s">
        <v>55</v>
      </c>
    </row>
    <row r="14" customFormat="false" ht="15" hidden="false" customHeight="true" outlineLevel="0" collapsed="false">
      <c r="A14" s="5" t="s">
        <v>70</v>
      </c>
      <c r="B14" s="5" t="s">
        <v>71</v>
      </c>
      <c r="C14" s="5" t="s">
        <v>53</v>
      </c>
      <c r="D14" s="8" t="n">
        <v>800</v>
      </c>
      <c r="E14" s="8" t="n">
        <v>2200</v>
      </c>
      <c r="F14" s="10" t="n">
        <f aca="false">IF(AND(D14&lt;&gt;"",E14&lt;&gt;""),IF(D14=0,"N/A",(E14-D14)/D14),"N/A")</f>
        <v>1.75</v>
      </c>
      <c r="G14" s="5" t="s">
        <v>54</v>
      </c>
      <c r="H14" s="5" t="s">
        <v>55</v>
      </c>
    </row>
    <row r="15" customFormat="false" ht="15" hidden="false" customHeight="true" outlineLevel="0" collapsed="false">
      <c r="A15" s="5" t="s">
        <v>72</v>
      </c>
      <c r="B15" s="5" t="s">
        <v>58</v>
      </c>
      <c r="C15" s="5" t="s">
        <v>59</v>
      </c>
      <c r="D15" s="8" t="n">
        <v>0</v>
      </c>
      <c r="E15" s="8" t="n">
        <v>400</v>
      </c>
      <c r="F15" s="10" t="str">
        <f aca="false">IF(AND(D15&lt;&gt;"",E15&lt;&gt;""),IF(D15=0,"N/A",(E15-D15)/D15),"N/A")</f>
        <v>N/A</v>
      </c>
      <c r="G15" s="5" t="s">
        <v>60</v>
      </c>
      <c r="H15" s="5" t="s">
        <v>55</v>
      </c>
    </row>
    <row r="18" customFormat="false" ht="15" hidden="false" customHeight="true" outlineLevel="0" collapsed="false">
      <c r="A18" s="11" t="s">
        <v>73</v>
      </c>
    </row>
    <row r="20" customFormat="false" ht="15" hidden="false" customHeight="true" outlineLevel="0" collapsed="false">
      <c r="A20" s="12" t="s">
        <v>74</v>
      </c>
      <c r="B20" s="8"/>
    </row>
    <row r="21" customFormat="false" ht="15" hidden="false" customHeight="true" outlineLevel="0" collapsed="false">
      <c r="A21" s="12" t="s">
        <v>75</v>
      </c>
      <c r="B21" s="17"/>
    </row>
    <row r="22" customFormat="false" ht="15" hidden="false" customHeight="true" outlineLevel="0" collapsed="false">
      <c r="A22" s="12" t="s">
        <v>76</v>
      </c>
      <c r="B22" s="17"/>
    </row>
    <row r="23" customFormat="false" ht="15" hidden="false" customHeight="true" outlineLevel="0" collapsed="false">
      <c r="A23" s="12" t="s">
        <v>77</v>
      </c>
      <c r="B23" s="17"/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79</v>
      </c>
      <c r="B3" s="3"/>
      <c r="C3" s="3"/>
      <c r="D3" s="3"/>
      <c r="E3" s="3"/>
      <c r="F3" s="3"/>
      <c r="G3" s="3"/>
      <c r="H3" s="3"/>
      <c r="I3" s="3"/>
    </row>
    <row r="5" customFormat="false" ht="26.25" hidden="false" customHeight="true" outlineLevel="0" collapsed="false">
      <c r="A5" s="4" t="s">
        <v>80</v>
      </c>
      <c r="B5" s="4" t="s">
        <v>81</v>
      </c>
      <c r="C5" s="4" t="s">
        <v>82</v>
      </c>
      <c r="D5" s="4" t="s">
        <v>83</v>
      </c>
      <c r="E5" s="4" t="s">
        <v>50</v>
      </c>
      <c r="F5" s="4" t="s">
        <v>84</v>
      </c>
      <c r="G5" s="4" t="s">
        <v>85</v>
      </c>
      <c r="H5" s="4" t="s">
        <v>86</v>
      </c>
      <c r="I5" s="4" t="s">
        <v>87</v>
      </c>
    </row>
    <row r="6" customFormat="false" ht="15" hidden="false" customHeight="true" outlineLevel="0" collapsed="false">
      <c r="A6" s="5"/>
      <c r="B6" s="5"/>
      <c r="C6" s="5"/>
      <c r="D6" s="5"/>
      <c r="E6" s="5"/>
      <c r="F6" s="8"/>
      <c r="G6" s="18"/>
      <c r="H6" s="9" t="str">
        <f aca="false">IF(AND(F6&lt;&gt;"",G6&lt;&gt;""),F6*G6,"")</f>
        <v/>
      </c>
      <c r="I6" s="15"/>
    </row>
    <row r="7" customFormat="false" ht="15" hidden="false" customHeight="true" outlineLevel="0" collapsed="false">
      <c r="A7" s="5"/>
      <c r="B7" s="5"/>
      <c r="C7" s="5"/>
      <c r="D7" s="5"/>
      <c r="E7" s="5"/>
      <c r="F7" s="8"/>
      <c r="G7" s="18"/>
      <c r="H7" s="9" t="str">
        <f aca="false">IF(AND(F7&lt;&gt;"",G7&lt;&gt;""),F7*G7,"")</f>
        <v/>
      </c>
      <c r="I7" s="15"/>
    </row>
    <row r="8" customFormat="false" ht="15" hidden="false" customHeight="true" outlineLevel="0" collapsed="false">
      <c r="A8" s="5"/>
      <c r="B8" s="5"/>
      <c r="C8" s="5"/>
      <c r="D8" s="5"/>
      <c r="E8" s="5"/>
      <c r="F8" s="8"/>
      <c r="G8" s="18"/>
      <c r="H8" s="9" t="str">
        <f aca="false">IF(AND(F8&lt;&gt;"",G8&lt;&gt;""),F8*G8,"")</f>
        <v/>
      </c>
      <c r="I8" s="15"/>
    </row>
    <row r="9" customFormat="false" ht="15" hidden="false" customHeight="true" outlineLevel="0" collapsed="false">
      <c r="A9" s="5"/>
      <c r="B9" s="5"/>
      <c r="C9" s="5"/>
      <c r="D9" s="5"/>
      <c r="E9" s="5"/>
      <c r="F9" s="8"/>
      <c r="G9" s="18"/>
      <c r="H9" s="9" t="str">
        <f aca="false">IF(AND(F9&lt;&gt;"",G9&lt;&gt;""),F9*G9,"")</f>
        <v/>
      </c>
      <c r="I9" s="15"/>
    </row>
    <row r="10" customFormat="false" ht="15" hidden="false" customHeight="true" outlineLevel="0" collapsed="false">
      <c r="A10" s="5"/>
      <c r="B10" s="5"/>
      <c r="C10" s="5"/>
      <c r="D10" s="5"/>
      <c r="E10" s="5"/>
      <c r="F10" s="8"/>
      <c r="G10" s="18"/>
      <c r="H10" s="9" t="str">
        <f aca="false">IF(AND(F10&lt;&gt;"",G10&lt;&gt;""),F10*G10,"")</f>
        <v/>
      </c>
      <c r="I10" s="15"/>
    </row>
    <row r="11" customFormat="false" ht="15" hidden="false" customHeight="true" outlineLevel="0" collapsed="false">
      <c r="A11" s="5"/>
      <c r="B11" s="5"/>
      <c r="C11" s="5"/>
      <c r="D11" s="5"/>
      <c r="E11" s="5"/>
      <c r="F11" s="8"/>
      <c r="G11" s="18"/>
      <c r="H11" s="9" t="str">
        <f aca="false">IF(AND(F11&lt;&gt;"",G11&lt;&gt;""),F11*G11,"")</f>
        <v/>
      </c>
      <c r="I11" s="15"/>
    </row>
    <row r="12" customFormat="false" ht="15" hidden="false" customHeight="true" outlineLevel="0" collapsed="false">
      <c r="A12" s="5"/>
      <c r="B12" s="5"/>
      <c r="C12" s="5"/>
      <c r="D12" s="5"/>
      <c r="E12" s="5"/>
      <c r="F12" s="8"/>
      <c r="G12" s="18"/>
      <c r="H12" s="9" t="str">
        <f aca="false">IF(AND(F12&lt;&gt;"",G12&lt;&gt;""),F12*G12,"")</f>
        <v/>
      </c>
      <c r="I12" s="15"/>
    </row>
    <row r="13" customFormat="false" ht="15" hidden="false" customHeight="true" outlineLevel="0" collapsed="false">
      <c r="A13" s="5"/>
      <c r="B13" s="5"/>
      <c r="C13" s="5"/>
      <c r="D13" s="5"/>
      <c r="E13" s="5"/>
      <c r="F13" s="8"/>
      <c r="G13" s="18"/>
      <c r="H13" s="9" t="str">
        <f aca="false">IF(AND(F13&lt;&gt;"",G13&lt;&gt;""),F13*G13,"")</f>
        <v/>
      </c>
      <c r="I13" s="15"/>
    </row>
    <row r="14" customFormat="false" ht="15" hidden="false" customHeight="true" outlineLevel="0" collapsed="false">
      <c r="A14" s="5"/>
      <c r="B14" s="5"/>
      <c r="C14" s="5"/>
      <c r="D14" s="5"/>
      <c r="E14" s="5"/>
      <c r="F14" s="8"/>
      <c r="G14" s="18"/>
      <c r="H14" s="9" t="str">
        <f aca="false">IF(AND(F14&lt;&gt;"",G14&lt;&gt;""),F14*G14,"")</f>
        <v/>
      </c>
      <c r="I14" s="15"/>
    </row>
    <row r="15" customFormat="false" ht="15" hidden="false" customHeight="true" outlineLevel="0" collapsed="false">
      <c r="A15" s="5"/>
      <c r="B15" s="5"/>
      <c r="C15" s="5"/>
      <c r="D15" s="5"/>
      <c r="E15" s="5"/>
      <c r="F15" s="8"/>
      <c r="G15" s="18"/>
      <c r="H15" s="9" t="str">
        <f aca="false">IF(AND(F15&lt;&gt;"",G15&lt;&gt;""),F15*G15,"")</f>
        <v/>
      </c>
      <c r="I15" s="15"/>
    </row>
    <row r="16" customFormat="false" ht="15" hidden="false" customHeight="true" outlineLevel="0" collapsed="false">
      <c r="A16" s="5"/>
      <c r="B16" s="5"/>
      <c r="C16" s="5"/>
      <c r="D16" s="5"/>
      <c r="E16" s="5"/>
      <c r="F16" s="8"/>
      <c r="G16" s="18"/>
      <c r="H16" s="9" t="str">
        <f aca="false">IF(AND(F16&lt;&gt;"",G16&lt;&gt;""),F16*G16,"")</f>
        <v/>
      </c>
      <c r="I16" s="15"/>
    </row>
    <row r="17" customFormat="false" ht="15" hidden="false" customHeight="true" outlineLevel="0" collapsed="false">
      <c r="A17" s="5"/>
      <c r="B17" s="5"/>
      <c r="C17" s="5"/>
      <c r="D17" s="5"/>
      <c r="E17" s="5"/>
      <c r="F17" s="8"/>
      <c r="G17" s="18"/>
      <c r="H17" s="9" t="str">
        <f aca="false">IF(AND(F17&lt;&gt;"",G17&lt;&gt;""),F17*G17,"")</f>
        <v/>
      </c>
      <c r="I17" s="15"/>
    </row>
    <row r="18" customFormat="false" ht="15" hidden="false" customHeight="true" outlineLevel="0" collapsed="false">
      <c r="A18" s="5"/>
      <c r="B18" s="5"/>
      <c r="C18" s="5"/>
      <c r="D18" s="5"/>
      <c r="E18" s="5"/>
      <c r="F18" s="8"/>
      <c r="G18" s="18"/>
      <c r="H18" s="9" t="str">
        <f aca="false">IF(AND(F18&lt;&gt;"",G18&lt;&gt;""),F18*G18,"")</f>
        <v/>
      </c>
      <c r="I18" s="15"/>
    </row>
    <row r="19" customFormat="false" ht="15" hidden="false" customHeight="true" outlineLevel="0" collapsed="false">
      <c r="A19" s="5"/>
      <c r="B19" s="5"/>
      <c r="C19" s="5"/>
      <c r="D19" s="5"/>
      <c r="E19" s="5"/>
      <c r="F19" s="8"/>
      <c r="G19" s="18"/>
      <c r="H19" s="9" t="str">
        <f aca="false">IF(AND(F19&lt;&gt;"",G19&lt;&gt;""),F19*G19,"")</f>
        <v/>
      </c>
      <c r="I19" s="15"/>
    </row>
    <row r="20" customFormat="false" ht="15" hidden="false" customHeight="true" outlineLevel="0" collapsed="false">
      <c r="A20" s="5"/>
      <c r="B20" s="5"/>
      <c r="C20" s="5"/>
      <c r="D20" s="5"/>
      <c r="E20" s="5"/>
      <c r="F20" s="8"/>
      <c r="G20" s="18"/>
      <c r="H20" s="9" t="str">
        <f aca="false">IF(AND(F20&lt;&gt;"",G20&lt;&gt;""),F20*G20,"")</f>
        <v/>
      </c>
      <c r="I20" s="15"/>
    </row>
    <row r="23" customFormat="false" ht="15" hidden="false" customHeight="true" outlineLevel="0" collapsed="false">
      <c r="A23" s="11" t="s">
        <v>88</v>
      </c>
    </row>
    <row r="24" customFormat="false" ht="15" hidden="false" customHeight="true" outlineLevel="0" collapsed="false">
      <c r="A24" s="12" t="s">
        <v>89</v>
      </c>
      <c r="B24" s="14" t="n">
        <f aca="false">COUNTA(A6:A20)</f>
        <v>0</v>
      </c>
    </row>
    <row r="25" customFormat="false" ht="15" hidden="false" customHeight="true" outlineLevel="0" collapsed="false">
      <c r="A25" s="12" t="s">
        <v>90</v>
      </c>
      <c r="B25" s="9" t="n">
        <f aca="false">SUM(F6:F20)</f>
        <v>0</v>
      </c>
    </row>
    <row r="26" customFormat="false" ht="15" hidden="false" customHeight="true" outlineLevel="0" collapsed="false">
      <c r="A26" s="12" t="s">
        <v>91</v>
      </c>
      <c r="B26" s="9" t="n">
        <f aca="false">SUM(H6:H20)</f>
        <v>0</v>
      </c>
    </row>
    <row r="27" customFormat="false" ht="15" hidden="false" customHeight="true" outlineLevel="0" collapsed="false">
      <c r="A27" s="12" t="s">
        <v>92</v>
      </c>
      <c r="B27" s="9" t="str">
        <f aca="false">IF(B24&lt;&gt;0,B25/B24,"")</f>
        <v/>
      </c>
    </row>
    <row r="28" customFormat="false" ht="15" hidden="false" customHeight="true" outlineLevel="0" collapsed="false">
      <c r="A28" s="12" t="s">
        <v>93</v>
      </c>
      <c r="B28" s="10" t="str">
        <f aca="false">IF(B24&lt;&gt;0,AVERAGE(G6:G20),"")</f>
        <v/>
      </c>
    </row>
    <row r="29" customFormat="false" ht="15" hidden="false" customHeight="true" outlineLevel="0" collapsed="false">
      <c r="A29" s="12" t="s">
        <v>94</v>
      </c>
      <c r="B29" s="14" t="str">
        <f aca="false">IF(B24&lt;&gt;0,AVERAGE(I6:I20),"")</f>
        <v/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95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9" t="s">
        <v>96</v>
      </c>
      <c r="C2" s="20"/>
    </row>
    <row r="4" customFormat="false" ht="15" hidden="false" customHeight="true" outlineLevel="0" collapsed="false">
      <c r="A4" s="11" t="s">
        <v>97</v>
      </c>
    </row>
    <row r="5" customFormat="false" ht="15" hidden="false" customHeight="true" outlineLevel="0" collapsed="false">
      <c r="A5" s="1" t="s">
        <v>98</v>
      </c>
      <c r="B5" s="8"/>
    </row>
    <row r="6" customFormat="false" ht="15" hidden="false" customHeight="true" outlineLevel="0" collapsed="false">
      <c r="A6" s="1" t="s">
        <v>99</v>
      </c>
      <c r="B6" s="8"/>
    </row>
    <row r="7" customFormat="false" ht="15" hidden="false" customHeight="true" outlineLevel="0" collapsed="false">
      <c r="A7" s="1" t="s">
        <v>100</v>
      </c>
      <c r="B7" s="17"/>
    </row>
    <row r="8" customFormat="false" ht="15" hidden="false" customHeight="true" outlineLevel="0" collapsed="false">
      <c r="A8" s="1" t="s">
        <v>101</v>
      </c>
      <c r="B8" s="8"/>
    </row>
    <row r="11" customFormat="false" ht="15" hidden="false" customHeight="true" outlineLevel="0" collapsed="false">
      <c r="A11" s="11" t="s">
        <v>102</v>
      </c>
    </row>
    <row r="12" customFormat="false" ht="15" hidden="false" customHeight="true" outlineLevel="0" collapsed="false">
      <c r="A12" s="12" t="s">
        <v>15</v>
      </c>
      <c r="B12" s="21" t="n">
        <f aca="false">'Job Costing'!B20</f>
        <v>0</v>
      </c>
    </row>
    <row r="13" customFormat="false" ht="15" hidden="false" customHeight="true" outlineLevel="0" collapsed="false">
      <c r="A13" s="12" t="s">
        <v>103</v>
      </c>
      <c r="B13" s="8"/>
    </row>
    <row r="14" customFormat="false" ht="15" hidden="false" customHeight="true" outlineLevel="0" collapsed="false">
      <c r="A14" s="12" t="s">
        <v>104</v>
      </c>
      <c r="B14" s="8"/>
    </row>
    <row r="15" customFormat="false" ht="15" hidden="false" customHeight="true" outlineLevel="0" collapsed="false">
      <c r="A15" s="12" t="s">
        <v>105</v>
      </c>
      <c r="B15" s="21" t="str">
        <f aca="false">IF(B12&lt;&gt;0,B14/B12,"")</f>
        <v/>
      </c>
    </row>
    <row r="16" customFormat="false" ht="15" hidden="false" customHeight="true" outlineLevel="0" collapsed="false">
      <c r="A16" s="12" t="s">
        <v>106</v>
      </c>
      <c r="B16" s="21" t="str">
        <f aca="false">'Job Costing'!B26</f>
        <v/>
      </c>
    </row>
    <row r="17" customFormat="false" ht="15" hidden="false" customHeight="true" outlineLevel="0" collapsed="false">
      <c r="A17" s="12" t="s">
        <v>107</v>
      </c>
      <c r="B17" s="8"/>
    </row>
    <row r="20" customFormat="false" ht="15" hidden="false" customHeight="true" outlineLevel="0" collapsed="false">
      <c r="A20" s="11" t="s">
        <v>108</v>
      </c>
    </row>
    <row r="21" customFormat="false" ht="15" hidden="false" customHeight="true" outlineLevel="0" collapsed="false">
      <c r="A21" s="12" t="s">
        <v>109</v>
      </c>
      <c r="B21" s="21" t="n">
        <f aca="false">'Job Costing'!B24</f>
        <v>0</v>
      </c>
    </row>
    <row r="22" customFormat="false" ht="15" hidden="false" customHeight="true" outlineLevel="0" collapsed="false">
      <c r="A22" s="12" t="s">
        <v>110</v>
      </c>
      <c r="B22" s="22" t="str">
        <f aca="false">IF(B12&lt;&gt;0,B21/B12,"")</f>
        <v/>
      </c>
    </row>
    <row r="23" customFormat="false" ht="15" hidden="false" customHeight="true" outlineLevel="0" collapsed="false">
      <c r="A23" s="12" t="s">
        <v>16</v>
      </c>
      <c r="B23" s="21" t="n">
        <f aca="false">'Job Costing'!B21</f>
        <v>0</v>
      </c>
    </row>
    <row r="24" customFormat="false" ht="15" hidden="false" customHeight="true" outlineLevel="0" collapsed="false">
      <c r="A24" s="12" t="s">
        <v>111</v>
      </c>
      <c r="B24" s="22" t="str">
        <f aca="false">IF(B12&lt;&gt;0,B23/B12,"")</f>
        <v/>
      </c>
    </row>
    <row r="25" customFormat="false" ht="15" hidden="false" customHeight="true" outlineLevel="0" collapsed="false">
      <c r="A25" s="12" t="s">
        <v>17</v>
      </c>
      <c r="B25" s="21" t="n">
        <f aca="false">'Job Costing'!B22</f>
        <v>0</v>
      </c>
    </row>
    <row r="26" customFormat="false" ht="15" hidden="false" customHeight="true" outlineLevel="0" collapsed="false">
      <c r="A26" s="12" t="s">
        <v>112</v>
      </c>
      <c r="B26" s="22" t="str">
        <f aca="false">IF(B12&lt;&gt;0,B25/B12,"")</f>
        <v/>
      </c>
    </row>
    <row r="27" customFormat="false" ht="15" hidden="false" customHeight="true" outlineLevel="0" collapsed="false">
      <c r="A27" s="12" t="s">
        <v>113</v>
      </c>
      <c r="B27" s="21" t="n">
        <f aca="false">B21</f>
        <v>0</v>
      </c>
    </row>
    <row r="28" customFormat="false" ht="15" hidden="false" customHeight="true" outlineLevel="0" collapsed="false">
      <c r="A28" s="12" t="s">
        <v>114</v>
      </c>
      <c r="B28" s="21" t="n">
        <f aca="false">B21-B8</f>
        <v>0</v>
      </c>
    </row>
    <row r="29" customFormat="false" ht="15" hidden="false" customHeight="true" outlineLevel="0" collapsed="false">
      <c r="A29" s="12" t="s">
        <v>115</v>
      </c>
      <c r="B29" s="22" t="str">
        <f aca="false">IF(B12&lt;&gt;0,B28/B12,"")</f>
        <v/>
      </c>
    </row>
    <row r="32" customFormat="false" ht="15" hidden="false" customHeight="true" outlineLevel="0" collapsed="false">
      <c r="A32" s="11" t="s">
        <v>116</v>
      </c>
    </row>
    <row r="33" customFormat="false" ht="15" hidden="false" customHeight="true" outlineLevel="0" collapsed="false">
      <c r="A33" s="12" t="s">
        <v>117</v>
      </c>
      <c r="B33" s="15"/>
    </row>
    <row r="34" customFormat="false" ht="15" hidden="false" customHeight="true" outlineLevel="0" collapsed="false">
      <c r="A34" s="12" t="s">
        <v>34</v>
      </c>
      <c r="B34" s="23" t="n">
        <f aca="false">'Customer Tracker'!B30</f>
        <v>0</v>
      </c>
    </row>
    <row r="35" customFormat="false" ht="15" hidden="false" customHeight="true" outlineLevel="0" collapsed="false">
      <c r="A35" s="12" t="s">
        <v>35</v>
      </c>
      <c r="B35" s="23" t="str">
        <f aca="false">'Customer Tracker'!B31</f>
        <v/>
      </c>
    </row>
    <row r="36" customFormat="false" ht="15" hidden="false" customHeight="true" outlineLevel="0" collapsed="false">
      <c r="A36" s="12" t="s">
        <v>118</v>
      </c>
      <c r="B36" s="15"/>
    </row>
    <row r="37" customFormat="false" ht="15" hidden="false" customHeight="true" outlineLevel="0" collapsed="false">
      <c r="A37" s="12" t="s">
        <v>37</v>
      </c>
      <c r="B37" s="21" t="str">
        <f aca="false">'Customer Tracker'!B33</f>
        <v/>
      </c>
    </row>
    <row r="38" customFormat="false" ht="15" hidden="false" customHeight="true" outlineLevel="0" collapsed="false">
      <c r="A38" s="12" t="s">
        <v>98</v>
      </c>
      <c r="B38" s="21" t="n">
        <f aca="false">B5</f>
        <v>0</v>
      </c>
    </row>
    <row r="39" customFormat="false" ht="15" hidden="false" customHeight="true" outlineLevel="0" collapsed="false">
      <c r="A39" s="12" t="s">
        <v>119</v>
      </c>
      <c r="B39" s="24" t="str">
        <f aca="false">IF(B38&lt;&gt;0,B37/B38,"")</f>
        <v/>
      </c>
    </row>
    <row r="40" customFormat="false" ht="15" hidden="false" customHeight="true" outlineLevel="0" collapsed="false">
      <c r="A40" s="12" t="s">
        <v>120</v>
      </c>
      <c r="B40" s="24" t="str">
        <f aca="false">IFERROR(IF(AND(B37&lt;&gt;0,B37&gt;0),B38/(B37/12),""),"")</f>
        <v/>
      </c>
    </row>
    <row r="43" customFormat="false" ht="15" hidden="false" customHeight="true" outlineLevel="0" collapsed="false">
      <c r="A43" s="11" t="s">
        <v>121</v>
      </c>
    </row>
    <row r="44" customFormat="false" ht="15" hidden="false" customHeight="true" outlineLevel="0" collapsed="false">
      <c r="A44" s="12" t="s">
        <v>14</v>
      </c>
      <c r="B44" s="23" t="n">
        <f aca="false">'Job Costing'!B19</f>
        <v>0</v>
      </c>
    </row>
    <row r="45" customFormat="false" ht="15" hidden="false" customHeight="true" outlineLevel="0" collapsed="false">
      <c r="A45" s="12" t="s">
        <v>18</v>
      </c>
      <c r="B45" s="24" t="n">
        <f aca="false">'Job Costing'!B23</f>
        <v>0</v>
      </c>
    </row>
    <row r="46" customFormat="false" ht="15" hidden="false" customHeight="true" outlineLevel="0" collapsed="false">
      <c r="A46" s="12" t="s">
        <v>22</v>
      </c>
      <c r="B46" s="21" t="str">
        <f aca="false">'Job Costing'!B27</f>
        <v/>
      </c>
    </row>
    <row r="47" customFormat="false" ht="15" hidden="false" customHeight="true" outlineLevel="0" collapsed="false">
      <c r="A47" s="12" t="s">
        <v>122</v>
      </c>
      <c r="B47" s="15"/>
    </row>
    <row r="48" customFormat="false" ht="15" hidden="false" customHeight="true" outlineLevel="0" collapsed="false">
      <c r="A48" s="12" t="s">
        <v>123</v>
      </c>
      <c r="B48" s="15"/>
    </row>
    <row r="49" customFormat="false" ht="15" hidden="false" customHeight="true" outlineLevel="0" collapsed="false">
      <c r="A49" s="12" t="s">
        <v>124</v>
      </c>
      <c r="B49" s="1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2026-01-31T05:56:38Z</dcterms:created>
  <dc:creator>openpyxl</dc:creator>
  <dc:description/>
  <dc:language>en-US</dc:language>
  <cp:lastModifiedBy/>
  <dcterms:modified xsi:type="dcterms:W3CDTF">2026-01-31T05:57:06Z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