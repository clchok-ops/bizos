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nputs" sheetId="1" state="visible" r:id="rId3"/>
    <sheet name="Production Tracker" sheetId="2" state="visible" r:id="rId4"/>
    <sheet name="BOM Costing" sheetId="3" state="visible" r:id="rId5"/>
    <sheet name="Inventory Status" sheetId="4" state="visible" r:id="rId6"/>
    <sheet name="Transfer Pricing" sheetId="5" state="visible" r:id="rId7"/>
    <sheet name="Monthly KP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<sst xmlns="http://schemas.openxmlformats.org/spreadsheetml/2006/main" count="127" uniqueCount="116">
  <si>
    <t xml:space="preserve">WCI DASHBOARD - DATA INPUT GUIDE</t>
  </si>
  <si>
    <t xml:space="preserve">INSTRUCTIONS</t>
  </si>
  <si>
    <t xml:space="preserve">This dashboard imports data from Odoo via CSV exports.</t>
  </si>
  <si>
    <t xml:space="preserve">STEP 1: Export Data from Odoo</t>
  </si>
  <si>
    <t xml:space="preserve">  • Run each export report listed in DATA_REQUIREMENTS.md</t>
  </si>
  <si>
    <t xml:space="preserve">  • Save files with the naming convention provided</t>
  </si>
  <si>
    <t xml:space="preserve">STEP 2: Paste Data into Respective Sheets</t>
  </si>
  <si>
    <t xml:space="preserve">  • Production Tracker: Paste mo_export.csv data (rows 5+)</t>
  </si>
  <si>
    <t xml:space="preserve">  • BOM Costing: Paste bom_export.csv data (rows 5+)</t>
  </si>
  <si>
    <t xml:space="preserve">  • Inventory Status: Paste inventory_status.csv data (rows 5+)</t>
  </si>
  <si>
    <t xml:space="preserve">  • Transfer Pricing: Update standard costs, then formulas auto-calculate</t>
  </si>
  <si>
    <t xml:space="preserve">STEP 3: Update Assumptions</t>
  </si>
  <si>
    <t xml:space="preserve">  • Transfer Pricing sheet: Update Solartech Margin &amp; Hippos Markup (cells B5, B6)</t>
  </si>
  <si>
    <t xml:space="preserve">  • Monthly KPIs sheet: Update Target values if needed (yellow cells)</t>
  </si>
  <si>
    <t xml:space="preserve">Production Tracker</t>
  </si>
  <si>
    <t xml:space="preserve">mo_export.csv + wo_export.csv</t>
  </si>
  <si>
    <t xml:space="preserve">BOM Costing</t>
  </si>
  <si>
    <t xml:space="preserve">bom_export.csv + routing_export.csv + gl_export.csv</t>
  </si>
  <si>
    <t xml:space="preserve">Inventory Status</t>
  </si>
  <si>
    <t xml:space="preserve">inventory_status.csv + stock_moves.csv</t>
  </si>
  <si>
    <t xml:space="preserve">Transfer Pricing</t>
  </si>
  <si>
    <t xml:space="preserve">BOM Costing sheet (internal) + so_export.csv</t>
  </si>
  <si>
    <t xml:space="preserve">Monthly KPIs</t>
  </si>
  <si>
    <t xml:space="preserve">All sheets above (formulas)</t>
  </si>
  <si>
    <t xml:space="preserve">DATA SOURCE MAPPING:</t>
  </si>
  <si>
    <t xml:space="preserve">NOTES</t>
  </si>
  <si>
    <t xml:space="preserve">• All dates must be in YYYY-MM-DD format</t>
  </si>
  <si>
    <t xml:space="preserve">• Currency values in base currency ($ assumed)</t>
  </si>
  <si>
    <t xml:space="preserve">• Quantities as integers or decimals depending on product UOM</t>
  </si>
  <si>
    <t xml:space="preserve">• Status values must match Odoo exactly (e.g., "Done", "Confirmed")</t>
  </si>
  <si>
    <t xml:space="preserve">• For questions, refer to DATA_REQUIREMENTS.md for detailed field definitions</t>
  </si>
  <si>
    <t xml:space="preserve">PRODUCTION TRACKER</t>
  </si>
  <si>
    <t xml:space="preserve">Data source: mo_export.csv, wo_export.csv</t>
  </si>
  <si>
    <t xml:space="preserve">MO Number</t>
  </si>
  <si>
    <t xml:space="preserve">Product</t>
  </si>
  <si>
    <t xml:space="preserve">Qty Ordered</t>
  </si>
  <si>
    <t xml:space="preserve">Qty Produced</t>
  </si>
  <si>
    <t xml:space="preserve">Status</t>
  </si>
  <si>
    <t xml:space="preserve">Planned End Date</t>
  </si>
  <si>
    <t xml:space="preserve">Actual End Date</t>
  </si>
  <si>
    <t xml:space="preserve">Days Late</t>
  </si>
  <si>
    <t xml:space="preserve">Scrap Qty</t>
  </si>
  <si>
    <t xml:space="preserve">Notes</t>
  </si>
  <si>
    <t xml:space="preserve">KPI SUMMARY</t>
  </si>
  <si>
    <t xml:space="preserve">On-Time Delivery Rate (%)</t>
  </si>
  <si>
    <t xml:space="preserve">%</t>
  </si>
  <si>
    <t xml:space="preserve">Total Orders</t>
  </si>
  <si>
    <t xml:space="preserve">Late Orders</t>
  </si>
  <si>
    <t xml:space="preserve">Total Scrap Qty</t>
  </si>
  <si>
    <t xml:space="preserve">Avg Days Late (Late Orders Only)</t>
  </si>
  <si>
    <t xml:space="preserve">BOM COSTING ANALYSIS</t>
  </si>
  <si>
    <t xml:space="preserve">PRODUCT COST SUMMARY</t>
  </si>
  <si>
    <t xml:space="preserve">Data source: bom_export.csv, routing_export.csv, gl_export.csv</t>
  </si>
  <si>
    <t xml:space="preserve">Product Code</t>
  </si>
  <si>
    <t xml:space="preserve">Product Name</t>
  </si>
  <si>
    <t xml:space="preserve">Component/Operation</t>
  </si>
  <si>
    <t xml:space="preserve">Qty/Hours</t>
  </si>
  <si>
    <t xml:space="preserve">Unit Cost</t>
  </si>
  <si>
    <t xml:space="preserve">Total Cost</t>
  </si>
  <si>
    <t xml:space="preserve">Material Cost</t>
  </si>
  <si>
    <t xml:space="preserve">Labor Cost</t>
  </si>
  <si>
    <t xml:space="preserve">Overhead Cost</t>
  </si>
  <si>
    <t xml:space="preserve">Total Unit Cost</t>
  </si>
  <si>
    <t xml:space="preserve">INVENTORY STATUS</t>
  </si>
  <si>
    <t xml:space="preserve">Data source: inventory_status.csv, stock_moves.csv</t>
  </si>
  <si>
    <t xml:space="preserve">Location Category</t>
  </si>
  <si>
    <t xml:space="preserve">On-Hand Qty</t>
  </si>
  <si>
    <t xml:space="preserve">Reserved Qty</t>
  </si>
  <si>
    <t xml:space="preserve">Available Qty</t>
  </si>
  <si>
    <t xml:space="preserve">Total Value</t>
  </si>
  <si>
    <t xml:space="preserve">INVENTORY SUMMARY BY CATEGORY</t>
  </si>
  <si>
    <t xml:space="preserve">Category</t>
  </si>
  <si>
    <t xml:space="preserve">Total On-Hand Qty</t>
  </si>
  <si>
    <t xml:space="preserve">Total Available Qty</t>
  </si>
  <si>
    <t xml:space="preserve">Total Value ($)</t>
  </si>
  <si>
    <t xml:space="preserve">Raw Materials</t>
  </si>
  <si>
    <t xml:space="preserve">Work in Progress</t>
  </si>
  <si>
    <t xml:space="preserve">Finished Goods</t>
  </si>
  <si>
    <t xml:space="preserve">Scrap/Rework</t>
  </si>
  <si>
    <t xml:space="preserve">TOTAL INVENTORY VALUE</t>
  </si>
  <si>
    <t xml:space="preserve">TRANSFER PRICING MODEL</t>
  </si>
  <si>
    <t xml:space="preserve">Data source: BOM Costing sheet, sales orders</t>
  </si>
  <si>
    <t xml:space="preserve">PRICING ASSUMPTIONS</t>
  </si>
  <si>
    <t xml:space="preserve">Solartech Margin %</t>
  </si>
  <si>
    <t xml:space="preserve">Hippos Markup %</t>
  </si>
  <si>
    <t xml:space="preserve">Standard Cost</t>
  </si>
  <si>
    <t xml:space="preserve">Solartech Price</t>
  </si>
  <si>
    <t xml:space="preserve">Hippos Price</t>
  </si>
  <si>
    <t xml:space="preserve">Solartech Qty</t>
  </si>
  <si>
    <t xml:space="preserve">Hippos Qty</t>
  </si>
  <si>
    <t xml:space="preserve">Month</t>
  </si>
  <si>
    <t xml:space="preserve">MONTHLY TRANSFER PRICING SUMMARY</t>
  </si>
  <si>
    <t xml:space="preserve">Solartech Volume</t>
  </si>
  <si>
    <t xml:space="preserve">Solartech Revenue</t>
  </si>
  <si>
    <t xml:space="preserve">Hippos Volume</t>
  </si>
  <si>
    <t xml:space="preserve">Hippos Revenue</t>
  </si>
  <si>
    <t xml:space="preserve">Total Revenue</t>
  </si>
  <si>
    <t xml:space="preserve">WCI MONTHLY KPI DASHBOARD</t>
  </si>
  <si>
    <t xml:space="preserve">Month/Year</t>
  </si>
  <si>
    <t xml:space="preserve">01/2026</t>
  </si>
  <si>
    <t xml:space="preserve">KPI</t>
  </si>
  <si>
    <t xml:space="preserve">Current Month</t>
  </si>
  <si>
    <t xml:space="preserve">Target</t>
  </si>
  <si>
    <t xml:space="preserve">Variance</t>
  </si>
  <si>
    <t xml:space="preserve">Scrap Rate (%)</t>
  </si>
  <si>
    <t xml:space="preserve">First-Pass Yield (%)</t>
  </si>
  <si>
    <t xml:space="preserve">Production Backlog (Days)</t>
  </si>
  <si>
    <t xml:space="preserve">Capacity Utilization (%)</t>
  </si>
  <si>
    <t xml:space="preserve">Unit Production Cost (Avg)</t>
  </si>
  <si>
    <t xml:space="preserve">Raw Material Turnover (× annual)</t>
  </si>
  <si>
    <t xml:space="preserve">WIP Value ($)</t>
  </si>
  <si>
    <t xml:space="preserve">Finished Goods Turnover (× annual)</t>
  </si>
  <si>
    <t xml:space="preserve">Inventory Accuracy (%)</t>
  </si>
  <si>
    <t xml:space="preserve">Order Fulfillment Cycle (Days)</t>
  </si>
  <si>
    <t xml:space="preserve">Solartech On-Time Rate (%)</t>
  </si>
  <si>
    <t xml:space="preserve">Hippos On-Time Rate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</si>
</sst>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\$#,##0.00;&quot;($&quot;#,##0.00\);\-"/>
    <numFmt numFmtId="168" formatCode="0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4472C4"/>
        <bgColor rgb="FF6666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0"/>
  </cols>
  <sheetData>
    <row r="1" customFormat="false" ht="15.7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</row>
    <row r="4" customFormat="false" ht="23.25" hidden="false" customHeight="true" outlineLevel="0" collapsed="false">
      <c r="A4" s="4" t="s">
        <v>2</v>
      </c>
    </row>
    <row r="5" customFormat="false" ht="15" hidden="false" customHeight="true" outlineLevel="0" collapsed="false">
      <c r="A5" s="4"/>
    </row>
    <row r="6" customFormat="false" ht="15" hidden="false" customHeight="true" outlineLevel="0" collapsed="false">
      <c r="A6" s="4" t="s">
        <v>3</v>
      </c>
    </row>
    <row r="7" customFormat="false" ht="23.25" hidden="false" customHeight="true" outlineLevel="0" collapsed="false">
      <c r="A7" s="4" t="s">
        <v>4</v>
      </c>
    </row>
    <row r="8" customFormat="false" ht="23.25" hidden="false" customHeight="true" outlineLevel="0" collapsed="false">
      <c r="A8" s="4" t="s">
        <v>5</v>
      </c>
    </row>
    <row r="9" customFormat="false" ht="15" hidden="false" customHeight="true" outlineLevel="0" collapsed="false">
      <c r="A9" s="4"/>
    </row>
    <row r="10" customFormat="false" ht="23.25" hidden="false" customHeight="true" outlineLevel="0" collapsed="false">
      <c r="A10" s="4" t="s">
        <v>6</v>
      </c>
    </row>
    <row r="11" customFormat="false" ht="23.25" hidden="false" customHeight="true" outlineLevel="0" collapsed="false">
      <c r="A11" s="4" t="s">
        <v>7</v>
      </c>
    </row>
    <row r="12" customFormat="false" ht="23.25" hidden="false" customHeight="true" outlineLevel="0" collapsed="false">
      <c r="A12" s="4" t="s">
        <v>8</v>
      </c>
    </row>
    <row r="13" customFormat="false" ht="34.5" hidden="false" customHeight="true" outlineLevel="0" collapsed="false">
      <c r="A13" s="4" t="s">
        <v>9</v>
      </c>
    </row>
    <row r="14" customFormat="false" ht="34.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1" t="s">
        <v>12</v>
      </c>
    </row>
    <row r="18" customFormat="false" ht="15" hidden="false" customHeight="true" outlineLevel="0" collapsed="false">
      <c r="A18" s="1" t="s">
        <v>13</v>
      </c>
    </row>
    <row r="20" customFormat="false" ht="15" hidden="false" customHeight="true" outlineLevel="0" collapsed="false">
      <c r="A20" s="5" t="s">
        <v>14</v>
      </c>
      <c r="B20" s="4" t="s">
        <v>15</v>
      </c>
    </row>
    <row r="21" customFormat="false" ht="15" hidden="false" customHeight="true" outlineLevel="0" collapsed="false">
      <c r="A21" s="5" t="s">
        <v>16</v>
      </c>
      <c r="B21" s="4" t="s">
        <v>17</v>
      </c>
    </row>
    <row r="22" customFormat="false" ht="15" hidden="false" customHeight="true" outlineLevel="0" collapsed="false">
      <c r="A22" s="5" t="s">
        <v>18</v>
      </c>
      <c r="B22" s="4" t="s">
        <v>19</v>
      </c>
    </row>
    <row r="23" customFormat="false" ht="15" hidden="false" customHeight="true" outlineLevel="0" collapsed="false">
      <c r="A23" s="5" t="s">
        <v>20</v>
      </c>
      <c r="B23" s="4" t="s">
        <v>21</v>
      </c>
    </row>
    <row r="24" customFormat="false" ht="15" hidden="false" customHeight="true" outlineLevel="0" collapsed="false">
      <c r="A24" s="5" t="s">
        <v>22</v>
      </c>
      <c r="B24" s="4" t="s">
        <v>23</v>
      </c>
    </row>
    <row r="25" customFormat="false" ht="15" hidden="false" customHeight="true" outlineLevel="0" collapsed="false">
      <c r="A25" s="1" t="s">
        <v>24</v>
      </c>
    </row>
    <row r="27" customFormat="false" ht="15" hidden="false" customHeight="true" outlineLevel="0" collapsed="false">
      <c r="A27" s="5" t="s">
        <v>25</v>
      </c>
    </row>
    <row r="28" customFormat="false" ht="23.25" hidden="false" customHeight="true" outlineLevel="0" collapsed="false">
      <c r="A28" s="4" t="s">
        <v>26</v>
      </c>
    </row>
    <row r="29" customFormat="false" ht="23.25" hidden="false" customHeight="true" outlineLevel="0" collapsed="false">
      <c r="A29" s="4" t="s">
        <v>27</v>
      </c>
    </row>
    <row r="30" customFormat="false" ht="34.5" hidden="false" customHeight="true" outlineLevel="0" collapsed="false">
      <c r="A30" s="4" t="s">
        <v>28</v>
      </c>
    </row>
    <row r="31" customFormat="false" ht="34.5" hidden="false" customHeight="true" outlineLevel="0" collapsed="false">
      <c r="A31" s="4" t="s">
        <v>29</v>
      </c>
    </row>
    <row r="32" customFormat="false" ht="34.5" hidden="false" customHeight="true" outlineLevel="0" collapsed="false">
      <c r="A32" s="4" t="s">
        <v>30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5" min="3" style="1" width="12"/>
    <col collapsed="false" customWidth="true" hidden="false" outlineLevel="0" max="7" min="6" style="1" width="14"/>
    <col collapsed="false" customWidth="true" hidden="false" outlineLevel="0" max="10" min="8" style="1" width="12"/>
  </cols>
  <sheetData>
    <row r="1" customFormat="false" ht="15.75" hidden="false" customHeight="true" outlineLevel="0" collapsed="false">
      <c r="A1" s="6" t="s">
        <v>31</v>
      </c>
    </row>
    <row r="2" customFormat="false" ht="15" hidden="false" customHeight="true" outlineLevel="0" collapsed="false">
      <c r="A2" s="7" t="s">
        <v>32</v>
      </c>
    </row>
    <row r="4" customFormat="false" ht="26.25" hidden="false" customHeight="true" outlineLevel="0" collapsed="false">
      <c r="A4" s="8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8" t="s">
        <v>42</v>
      </c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10"/>
      <c r="I5" s="9"/>
      <c r="J5" s="9"/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10"/>
      <c r="I6" s="9"/>
      <c r="J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10"/>
      <c r="I7" s="9"/>
      <c r="J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10"/>
      <c r="I8" s="9"/>
      <c r="J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10"/>
      <c r="I9" s="9"/>
      <c r="J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10"/>
      <c r="I10" s="9"/>
      <c r="J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10"/>
      <c r="I11" s="9"/>
      <c r="J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10"/>
      <c r="I12" s="9"/>
      <c r="J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10"/>
      <c r="I13" s="9"/>
      <c r="J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10"/>
      <c r="I14" s="9"/>
      <c r="J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10"/>
      <c r="I15" s="9"/>
      <c r="J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  <c r="H16" s="10"/>
      <c r="I16" s="9"/>
      <c r="J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  <c r="H17" s="10"/>
      <c r="I17" s="9"/>
      <c r="J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  <c r="H18" s="10"/>
      <c r="I18" s="9"/>
      <c r="J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  <c r="H19" s="10"/>
      <c r="I19" s="9"/>
      <c r="J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  <c r="H20" s="10"/>
      <c r="I20" s="9"/>
      <c r="J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  <c r="H21" s="10"/>
      <c r="I21" s="9"/>
      <c r="J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  <c r="H22" s="10"/>
      <c r="I22" s="9"/>
      <c r="J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  <c r="H23" s="10"/>
      <c r="I23" s="9"/>
      <c r="J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  <c r="H24" s="10"/>
      <c r="I24" s="9"/>
      <c r="J24" s="9"/>
    </row>
    <row r="26" customFormat="false" ht="15" hidden="false" customHeight="true" outlineLevel="0" collapsed="false">
      <c r="A26" s="11" t="s">
        <v>43</v>
      </c>
    </row>
    <row r="27" customFormat="false" ht="15" hidden="false" customHeight="true" outlineLevel="0" collapsed="false">
      <c r="A27" s="5" t="s">
        <v>44</v>
      </c>
      <c r="B27" s="12" t="n">
        <f aca="false">IF(COUNTA(A5:A24)=0,0,COUNTIF(H5:H24,"&lt;=0")/COUNTA(A5:A24)*100)</f>
        <v>0</v>
      </c>
      <c r="C27" s="1" t="s">
        <v>45</v>
      </c>
    </row>
    <row r="28" customFormat="false" ht="15" hidden="false" customHeight="true" outlineLevel="0" collapsed="false">
      <c r="A28" s="5" t="s">
        <v>46</v>
      </c>
      <c r="B28" s="13" t="n">
        <f aca="false">COUNTA(A5:A24)</f>
        <v>0</v>
      </c>
    </row>
    <row r="29" customFormat="false" ht="15" hidden="false" customHeight="true" outlineLevel="0" collapsed="false">
      <c r="A29" s="5" t="s">
        <v>47</v>
      </c>
      <c r="B29" s="13" t="n">
        <f aca="false">COUNTIF(H5:H24,"&gt;0")</f>
        <v>0</v>
      </c>
    </row>
    <row r="30" customFormat="false" ht="15" hidden="false" customHeight="true" outlineLevel="0" collapsed="false">
      <c r="A30" s="5" t="s">
        <v>48</v>
      </c>
      <c r="B30" s="13" t="n">
        <f aca="false">SUM(I5:I24)</f>
        <v>0</v>
      </c>
    </row>
    <row r="31" customFormat="false" ht="15" hidden="false" customHeight="true" outlineLevel="0" collapsed="false">
      <c r="A31" s="5" t="s">
        <v>49</v>
      </c>
      <c r="B31" s="12" t="n">
        <f aca="false">IF(COUNTIF(H5:H24,"&gt;0")=0,0,AVERAGEIF(H5:H24,"&gt;0"))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2"/>
  </cols>
  <sheetData>
    <row r="1" customFormat="false" ht="15.75" hidden="false" customHeight="true" outlineLevel="0" collapsed="false">
      <c r="A1" s="6" t="s">
        <v>50</v>
      </c>
      <c r="H1" s="6" t="s">
        <v>51</v>
      </c>
    </row>
    <row r="2" customFormat="false" ht="15" hidden="false" customHeight="true" outlineLevel="0" collapsed="false">
      <c r="A2" s="7" t="s">
        <v>52</v>
      </c>
    </row>
    <row r="4" customFormat="false" ht="39" hidden="false" customHeight="true" outlineLevel="0" collapsed="false">
      <c r="A4" s="8" t="s">
        <v>53</v>
      </c>
      <c r="B4" s="8" t="s">
        <v>54</v>
      </c>
      <c r="C4" s="8" t="s">
        <v>55</v>
      </c>
      <c r="D4" s="8" t="s">
        <v>56</v>
      </c>
      <c r="E4" s="8" t="s">
        <v>57</v>
      </c>
      <c r="F4" s="8" t="s">
        <v>58</v>
      </c>
      <c r="G4" s="8"/>
      <c r="H4" s="8" t="s">
        <v>53</v>
      </c>
      <c r="I4" s="8" t="s">
        <v>54</v>
      </c>
      <c r="J4" s="8" t="s">
        <v>59</v>
      </c>
      <c r="K4" s="8" t="s">
        <v>60</v>
      </c>
      <c r="L4" s="8" t="s">
        <v>61</v>
      </c>
      <c r="M4" s="8" t="s">
        <v>62</v>
      </c>
    </row>
    <row r="5" customFormat="false" ht="15" hidden="false" customHeight="true" outlineLevel="0" collapsed="false">
      <c r="A5" s="14"/>
      <c r="B5" s="14"/>
      <c r="C5" s="14"/>
      <c r="D5" s="15"/>
      <c r="E5" s="16"/>
      <c r="F5" s="16"/>
      <c r="H5" s="14"/>
      <c r="I5" s="14"/>
      <c r="J5" s="17"/>
      <c r="K5" s="17"/>
      <c r="L5" s="17"/>
      <c r="M5" s="17"/>
    </row>
    <row r="6" customFormat="false" ht="15" hidden="false" customHeight="true" outlineLevel="0" collapsed="false">
      <c r="A6" s="14"/>
      <c r="B6" s="14"/>
      <c r="C6" s="14"/>
      <c r="D6" s="15"/>
      <c r="E6" s="16"/>
      <c r="F6" s="16"/>
      <c r="H6" s="14"/>
      <c r="I6" s="14"/>
      <c r="J6" s="17"/>
      <c r="K6" s="17"/>
      <c r="L6" s="17"/>
      <c r="M6" s="17"/>
    </row>
    <row r="7" customFormat="false" ht="15" hidden="false" customHeight="true" outlineLevel="0" collapsed="false">
      <c r="A7" s="14"/>
      <c r="B7" s="14"/>
      <c r="C7" s="14"/>
      <c r="D7" s="15"/>
      <c r="E7" s="16"/>
      <c r="F7" s="16"/>
      <c r="H7" s="14"/>
      <c r="I7" s="14"/>
      <c r="J7" s="17"/>
      <c r="K7" s="17"/>
      <c r="L7" s="17"/>
      <c r="M7" s="17"/>
    </row>
    <row r="8" customFormat="false" ht="15" hidden="false" customHeight="true" outlineLevel="0" collapsed="false">
      <c r="A8" s="14"/>
      <c r="B8" s="14"/>
      <c r="C8" s="14"/>
      <c r="D8" s="15"/>
      <c r="E8" s="16"/>
      <c r="F8" s="16"/>
      <c r="H8" s="14"/>
      <c r="I8" s="14"/>
      <c r="J8" s="17"/>
      <c r="K8" s="17"/>
      <c r="L8" s="17"/>
      <c r="M8" s="17"/>
    </row>
    <row r="9" customFormat="false" ht="15" hidden="false" customHeight="true" outlineLevel="0" collapsed="false">
      <c r="A9" s="14"/>
      <c r="B9" s="14"/>
      <c r="C9" s="14"/>
      <c r="D9" s="15"/>
      <c r="E9" s="16"/>
      <c r="F9" s="16"/>
      <c r="H9" s="14"/>
      <c r="I9" s="14"/>
      <c r="J9" s="17"/>
      <c r="K9" s="17"/>
      <c r="L9" s="17"/>
      <c r="M9" s="17"/>
    </row>
    <row r="10" customFormat="false" ht="15" hidden="false" customHeight="true" outlineLevel="0" collapsed="false">
      <c r="A10" s="14"/>
      <c r="B10" s="14"/>
      <c r="C10" s="14"/>
      <c r="D10" s="15"/>
      <c r="E10" s="16"/>
      <c r="F10" s="16"/>
      <c r="H10" s="14"/>
      <c r="I10" s="14"/>
      <c r="J10" s="17"/>
      <c r="K10" s="17"/>
      <c r="L10" s="17"/>
      <c r="M10" s="17"/>
    </row>
    <row r="11" customFormat="false" ht="15" hidden="false" customHeight="true" outlineLevel="0" collapsed="false">
      <c r="A11" s="14"/>
      <c r="B11" s="14"/>
      <c r="C11" s="14"/>
      <c r="D11" s="15"/>
      <c r="E11" s="16"/>
      <c r="F11" s="16"/>
      <c r="H11" s="14"/>
      <c r="I11" s="14"/>
      <c r="J11" s="17"/>
      <c r="K11" s="17"/>
      <c r="L11" s="17"/>
      <c r="M11" s="17"/>
    </row>
    <row r="12" customFormat="false" ht="15" hidden="false" customHeight="true" outlineLevel="0" collapsed="false">
      <c r="A12" s="14"/>
      <c r="B12" s="14"/>
      <c r="C12" s="14"/>
      <c r="D12" s="15"/>
      <c r="E12" s="16"/>
      <c r="F12" s="16"/>
      <c r="H12" s="14"/>
      <c r="I12" s="14"/>
      <c r="J12" s="17"/>
      <c r="K12" s="17"/>
      <c r="L12" s="17"/>
      <c r="M12" s="17"/>
    </row>
    <row r="13" customFormat="false" ht="15" hidden="false" customHeight="true" outlineLevel="0" collapsed="false">
      <c r="A13" s="14"/>
      <c r="B13" s="14"/>
      <c r="C13" s="14"/>
      <c r="D13" s="15"/>
      <c r="E13" s="16"/>
      <c r="F13" s="16"/>
      <c r="H13" s="14"/>
      <c r="I13" s="14"/>
      <c r="J13" s="17"/>
      <c r="K13" s="17"/>
      <c r="L13" s="17"/>
      <c r="M13" s="17"/>
    </row>
    <row r="14" customFormat="false" ht="15" hidden="false" customHeight="true" outlineLevel="0" collapsed="false">
      <c r="A14" s="14"/>
      <c r="B14" s="14"/>
      <c r="C14" s="14"/>
      <c r="D14" s="15"/>
      <c r="E14" s="16"/>
      <c r="F14" s="16"/>
      <c r="H14" s="14"/>
      <c r="I14" s="14"/>
      <c r="J14" s="17"/>
      <c r="K14" s="17"/>
      <c r="L14" s="17"/>
      <c r="M14" s="17"/>
    </row>
    <row r="15" customFormat="false" ht="15" hidden="false" customHeight="true" outlineLevel="0" collapsed="false">
      <c r="A15" s="14"/>
      <c r="B15" s="14"/>
      <c r="C15" s="14"/>
      <c r="D15" s="15"/>
      <c r="E15" s="16"/>
      <c r="F15" s="16"/>
      <c r="H15" s="14"/>
      <c r="I15" s="14"/>
      <c r="J15" s="17"/>
      <c r="K15" s="17"/>
      <c r="L15" s="17"/>
      <c r="M15" s="17"/>
    </row>
    <row r="16" customFormat="false" ht="15" hidden="false" customHeight="true" outlineLevel="0" collapsed="false">
      <c r="A16" s="14"/>
      <c r="B16" s="14"/>
      <c r="C16" s="14"/>
      <c r="D16" s="15"/>
      <c r="E16" s="16"/>
      <c r="F16" s="16"/>
      <c r="H16" s="14"/>
      <c r="I16" s="14"/>
      <c r="J16" s="17"/>
      <c r="K16" s="17"/>
      <c r="L16" s="17"/>
      <c r="M16" s="17"/>
    </row>
    <row r="17" customFormat="false" ht="15" hidden="false" customHeight="true" outlineLevel="0" collapsed="false">
      <c r="A17" s="14"/>
      <c r="B17" s="14"/>
      <c r="C17" s="14"/>
      <c r="D17" s="15"/>
      <c r="E17" s="16"/>
      <c r="F17" s="16"/>
      <c r="H17" s="14"/>
      <c r="I17" s="14"/>
      <c r="J17" s="17"/>
      <c r="K17" s="17"/>
      <c r="L17" s="17"/>
      <c r="M17" s="17"/>
    </row>
    <row r="18" customFormat="false" ht="15" hidden="false" customHeight="true" outlineLevel="0" collapsed="false">
      <c r="A18" s="14"/>
      <c r="B18" s="14"/>
      <c r="C18" s="14"/>
      <c r="D18" s="15"/>
      <c r="E18" s="16"/>
      <c r="F18" s="16"/>
      <c r="H18" s="14"/>
      <c r="I18" s="14"/>
      <c r="J18" s="17"/>
      <c r="K18" s="17"/>
      <c r="L18" s="17"/>
      <c r="M18" s="17"/>
    </row>
    <row r="19" customFormat="false" ht="15" hidden="false" customHeight="true" outlineLevel="0" collapsed="false">
      <c r="A19" s="14"/>
      <c r="B19" s="14"/>
      <c r="C19" s="14"/>
      <c r="D19" s="15"/>
      <c r="E19" s="16"/>
      <c r="F19" s="16"/>
      <c r="H19" s="14"/>
      <c r="I19" s="14"/>
      <c r="J19" s="17"/>
      <c r="K19" s="17"/>
      <c r="L19" s="17"/>
      <c r="M19" s="17"/>
    </row>
    <row r="20" customFormat="false" ht="15" hidden="false" customHeight="true" outlineLevel="0" collapsed="false">
      <c r="A20" s="14"/>
      <c r="B20" s="14"/>
      <c r="C20" s="14"/>
      <c r="D20" s="15"/>
      <c r="E20" s="16"/>
      <c r="F20" s="16"/>
      <c r="H20" s="14"/>
      <c r="I20" s="14"/>
      <c r="J20" s="17"/>
      <c r="K20" s="17"/>
      <c r="L20" s="17"/>
      <c r="M20" s="17"/>
    </row>
    <row r="21" customFormat="false" ht="15" hidden="false" customHeight="true" outlineLevel="0" collapsed="false">
      <c r="A21" s="14"/>
      <c r="B21" s="14"/>
      <c r="C21" s="14"/>
      <c r="D21" s="15"/>
      <c r="E21" s="16"/>
      <c r="F21" s="16"/>
      <c r="H21" s="14"/>
      <c r="I21" s="14"/>
      <c r="J21" s="17"/>
      <c r="K21" s="17"/>
      <c r="L21" s="17"/>
      <c r="M21" s="17"/>
    </row>
    <row r="22" customFormat="false" ht="15" hidden="false" customHeight="true" outlineLevel="0" collapsed="false">
      <c r="A22" s="14"/>
      <c r="B22" s="14"/>
      <c r="C22" s="14"/>
      <c r="D22" s="15"/>
      <c r="E22" s="16"/>
      <c r="F22" s="16"/>
      <c r="H22" s="14"/>
      <c r="I22" s="14"/>
      <c r="J22" s="17"/>
      <c r="K22" s="17"/>
      <c r="L22" s="17"/>
      <c r="M22" s="17"/>
    </row>
    <row r="23" customFormat="false" ht="15" hidden="false" customHeight="true" outlineLevel="0" collapsed="false">
      <c r="A23" s="14"/>
      <c r="B23" s="14"/>
      <c r="C23" s="14"/>
      <c r="D23" s="15"/>
      <c r="E23" s="16"/>
      <c r="F23" s="16"/>
      <c r="H23" s="14"/>
      <c r="I23" s="14"/>
      <c r="J23" s="17"/>
      <c r="K23" s="17"/>
      <c r="L23" s="17"/>
      <c r="M23" s="17"/>
    </row>
    <row r="24" customFormat="false" ht="15" hidden="false" customHeight="true" outlineLevel="0" collapsed="false">
      <c r="A24" s="14"/>
      <c r="B24" s="14"/>
      <c r="C24" s="14"/>
      <c r="D24" s="15"/>
      <c r="E24" s="16"/>
      <c r="F24" s="16"/>
      <c r="H24" s="14"/>
      <c r="I24" s="14"/>
      <c r="J24" s="17"/>
      <c r="K24" s="17"/>
      <c r="L24" s="17"/>
      <c r="M24" s="17"/>
    </row>
    <row r="25" customFormat="false" ht="15" hidden="false" customHeight="true" outlineLevel="0" collapsed="false">
      <c r="A25" s="14"/>
      <c r="B25" s="14"/>
      <c r="C25" s="14"/>
      <c r="D25" s="15"/>
      <c r="E25" s="16"/>
      <c r="F25" s="16"/>
    </row>
    <row r="26" customFormat="false" ht="15" hidden="false" customHeight="true" outlineLevel="0" collapsed="false">
      <c r="A26" s="14"/>
      <c r="B26" s="14"/>
      <c r="C26" s="14"/>
      <c r="D26" s="15"/>
      <c r="E26" s="16"/>
      <c r="F26" s="16"/>
    </row>
    <row r="27" customFormat="false" ht="15" hidden="false" customHeight="true" outlineLevel="0" collapsed="false">
      <c r="A27" s="14"/>
      <c r="B27" s="14"/>
      <c r="C27" s="14"/>
      <c r="D27" s="15"/>
      <c r="E27" s="16"/>
      <c r="F27" s="16"/>
    </row>
    <row r="28" customFormat="false" ht="15" hidden="false" customHeight="true" outlineLevel="0" collapsed="false">
      <c r="A28" s="14"/>
      <c r="B28" s="14"/>
      <c r="C28" s="14"/>
      <c r="D28" s="15"/>
      <c r="E28" s="16"/>
      <c r="F28" s="16"/>
    </row>
    <row r="29" customFormat="false" ht="15" hidden="false" customHeight="true" outlineLevel="0" collapsed="false">
      <c r="A29" s="14"/>
      <c r="B29" s="14"/>
      <c r="C29" s="14"/>
      <c r="D29" s="15"/>
      <c r="E29" s="16"/>
      <c r="F29" s="16"/>
    </row>
    <row r="30" customFormat="false" ht="15" hidden="false" customHeight="true" outlineLevel="0" collapsed="false">
      <c r="A30" s="14"/>
      <c r="B30" s="14"/>
      <c r="C30" s="14"/>
      <c r="D30" s="15"/>
      <c r="E30" s="16"/>
      <c r="F30" s="16"/>
    </row>
    <row r="31" customFormat="false" ht="15" hidden="false" customHeight="true" outlineLevel="0" collapsed="false">
      <c r="A31" s="14"/>
      <c r="B31" s="14"/>
      <c r="C31" s="14"/>
      <c r="D31" s="15"/>
      <c r="E31" s="16"/>
      <c r="F31" s="16"/>
    </row>
    <row r="32" customFormat="false" ht="15" hidden="false" customHeight="true" outlineLevel="0" collapsed="false">
      <c r="A32" s="14"/>
      <c r="B32" s="14"/>
      <c r="C32" s="14"/>
      <c r="D32" s="15"/>
      <c r="E32" s="16"/>
      <c r="F32" s="16"/>
    </row>
    <row r="33" customFormat="false" ht="15" hidden="false" customHeight="true" outlineLevel="0" collapsed="false">
      <c r="A33" s="14"/>
      <c r="B33" s="14"/>
      <c r="C33" s="14"/>
      <c r="D33" s="15"/>
      <c r="E33" s="16"/>
      <c r="F33" s="16"/>
    </row>
    <row r="34" customFormat="false" ht="15" hidden="false" customHeight="true" outlineLevel="0" collapsed="false">
      <c r="A34" s="14"/>
      <c r="B34" s="14"/>
      <c r="C34" s="14"/>
      <c r="D34" s="15"/>
      <c r="E34" s="16"/>
      <c r="F34" s="16"/>
    </row>
    <row r="35" customFormat="false" ht="15" hidden="false" customHeight="true" outlineLevel="0" collapsed="false">
      <c r="A35" s="14"/>
      <c r="B35" s="14"/>
      <c r="C35" s="14"/>
      <c r="D35" s="15"/>
      <c r="E35" s="16"/>
      <c r="F35" s="16"/>
    </row>
    <row r="36" customFormat="false" ht="15" hidden="false" customHeight="true" outlineLevel="0" collapsed="false">
      <c r="A36" s="14"/>
      <c r="B36" s="14"/>
      <c r="C36" s="14"/>
      <c r="D36" s="15"/>
      <c r="E36" s="16"/>
      <c r="F36" s="16"/>
    </row>
    <row r="37" customFormat="false" ht="15" hidden="false" customHeight="true" outlineLevel="0" collapsed="false">
      <c r="A37" s="14"/>
      <c r="B37" s="14"/>
      <c r="C37" s="14"/>
      <c r="D37" s="15"/>
      <c r="E37" s="16"/>
      <c r="F37" s="16"/>
    </row>
    <row r="38" customFormat="false" ht="15" hidden="false" customHeight="true" outlineLevel="0" collapsed="false">
      <c r="A38" s="14"/>
      <c r="B38" s="14"/>
      <c r="C38" s="14"/>
      <c r="D38" s="15"/>
      <c r="E38" s="16"/>
      <c r="F38" s="16"/>
    </row>
    <row r="39" customFormat="false" ht="15" hidden="false" customHeight="true" outlineLevel="0" collapsed="false">
      <c r="A39" s="14"/>
      <c r="B39" s="14"/>
      <c r="C39" s="14"/>
      <c r="D39" s="15"/>
      <c r="E39" s="16"/>
      <c r="F39" s="16"/>
    </row>
    <row r="40" customFormat="false" ht="15" hidden="false" customHeight="true" outlineLevel="0" collapsed="false">
      <c r="A40" s="14"/>
      <c r="B40" s="14"/>
      <c r="C40" s="14"/>
      <c r="D40" s="15"/>
      <c r="E40" s="16"/>
      <c r="F40" s="16"/>
    </row>
    <row r="41" customFormat="false" ht="15" hidden="false" customHeight="true" outlineLevel="0" collapsed="false">
      <c r="A41" s="14"/>
      <c r="B41" s="14"/>
      <c r="C41" s="14"/>
      <c r="D41" s="15"/>
      <c r="E41" s="16"/>
      <c r="F41" s="16"/>
    </row>
    <row r="42" customFormat="false" ht="15" hidden="false" customHeight="true" outlineLevel="0" collapsed="false">
      <c r="A42" s="14"/>
      <c r="B42" s="14"/>
      <c r="C42" s="14"/>
      <c r="D42" s="15"/>
      <c r="E42" s="16"/>
      <c r="F42" s="16"/>
    </row>
    <row r="43" customFormat="false" ht="15" hidden="false" customHeight="true" outlineLevel="0" collapsed="false">
      <c r="A43" s="14"/>
      <c r="B43" s="14"/>
      <c r="C43" s="14"/>
      <c r="D43" s="15"/>
      <c r="E43" s="16"/>
      <c r="F43" s="16"/>
    </row>
    <row r="44" customFormat="false" ht="15" hidden="false" customHeight="true" outlineLevel="0" collapsed="false">
      <c r="A44" s="14"/>
      <c r="B44" s="14"/>
      <c r="C44" s="14"/>
      <c r="D44" s="15"/>
      <c r="E44" s="16"/>
      <c r="F4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6" min="5" style="1" width="12"/>
    <col collapsed="false" customWidth="true" hidden="false" outlineLevel="0" max="7" min="7" style="1" width="15"/>
    <col collapsed="false" customWidth="true" hidden="false" outlineLevel="0" max="8" min="8" style="1" width="16"/>
  </cols>
  <sheetData>
    <row r="1" customFormat="false" ht="15.75" hidden="false" customHeight="true" outlineLevel="0" collapsed="false">
      <c r="A1" s="6" t="s">
        <v>63</v>
      </c>
    </row>
    <row r="2" customFormat="false" ht="15" hidden="false" customHeight="true" outlineLevel="0" collapsed="false">
      <c r="A2" s="7" t="s">
        <v>64</v>
      </c>
    </row>
    <row r="4" customFormat="false" ht="26.25" hidden="false" customHeight="true" outlineLevel="0" collapsed="false">
      <c r="A4" s="8" t="s">
        <v>53</v>
      </c>
      <c r="B4" s="8" t="s">
        <v>54</v>
      </c>
      <c r="C4" s="8" t="s">
        <v>65</v>
      </c>
      <c r="D4" s="8" t="s">
        <v>66</v>
      </c>
      <c r="E4" s="8" t="s">
        <v>67</v>
      </c>
      <c r="F4" s="8" t="s">
        <v>68</v>
      </c>
      <c r="G4" s="8" t="s">
        <v>57</v>
      </c>
      <c r="H4" s="8" t="s">
        <v>69</v>
      </c>
    </row>
    <row r="5" customFormat="false" ht="15" hidden="false" customHeight="true" outlineLevel="0" collapsed="false">
      <c r="A5" s="14"/>
      <c r="B5" s="14"/>
      <c r="C5" s="14"/>
      <c r="D5" s="18"/>
      <c r="E5" s="18"/>
      <c r="F5" s="18"/>
      <c r="G5" s="16"/>
      <c r="H5" s="16"/>
    </row>
    <row r="6" customFormat="false" ht="15" hidden="false" customHeight="true" outlineLevel="0" collapsed="false">
      <c r="A6" s="14"/>
      <c r="B6" s="14"/>
      <c r="C6" s="14"/>
      <c r="D6" s="18"/>
      <c r="E6" s="18"/>
      <c r="F6" s="18"/>
      <c r="G6" s="16"/>
      <c r="H6" s="16"/>
    </row>
    <row r="7" customFormat="false" ht="15" hidden="false" customHeight="true" outlineLevel="0" collapsed="false">
      <c r="A7" s="14"/>
      <c r="B7" s="14"/>
      <c r="C7" s="14"/>
      <c r="D7" s="18"/>
      <c r="E7" s="18"/>
      <c r="F7" s="18"/>
      <c r="G7" s="16"/>
      <c r="H7" s="16"/>
    </row>
    <row r="8" customFormat="false" ht="15" hidden="false" customHeight="true" outlineLevel="0" collapsed="false">
      <c r="A8" s="14"/>
      <c r="B8" s="14"/>
      <c r="C8" s="14"/>
      <c r="D8" s="18"/>
      <c r="E8" s="18"/>
      <c r="F8" s="18"/>
      <c r="G8" s="16"/>
      <c r="H8" s="16"/>
    </row>
    <row r="9" customFormat="false" ht="15" hidden="false" customHeight="true" outlineLevel="0" collapsed="false">
      <c r="A9" s="14"/>
      <c r="B9" s="14"/>
      <c r="C9" s="14"/>
      <c r="D9" s="18"/>
      <c r="E9" s="18"/>
      <c r="F9" s="18"/>
      <c r="G9" s="16"/>
      <c r="H9" s="16"/>
    </row>
    <row r="10" customFormat="false" ht="15" hidden="false" customHeight="true" outlineLevel="0" collapsed="false">
      <c r="A10" s="14"/>
      <c r="B10" s="14"/>
      <c r="C10" s="14"/>
      <c r="D10" s="18"/>
      <c r="E10" s="18"/>
      <c r="F10" s="18"/>
      <c r="G10" s="16"/>
      <c r="H10" s="16"/>
    </row>
    <row r="11" customFormat="false" ht="15" hidden="false" customHeight="true" outlineLevel="0" collapsed="false">
      <c r="A11" s="14"/>
      <c r="B11" s="14"/>
      <c r="C11" s="14"/>
      <c r="D11" s="18"/>
      <c r="E11" s="18"/>
      <c r="F11" s="18"/>
      <c r="G11" s="16"/>
      <c r="H11" s="16"/>
    </row>
    <row r="12" customFormat="false" ht="15" hidden="false" customHeight="true" outlineLevel="0" collapsed="false">
      <c r="A12" s="14"/>
      <c r="B12" s="14"/>
      <c r="C12" s="14"/>
      <c r="D12" s="18"/>
      <c r="E12" s="18"/>
      <c r="F12" s="18"/>
      <c r="G12" s="16"/>
      <c r="H12" s="16"/>
    </row>
    <row r="13" customFormat="false" ht="15" hidden="false" customHeight="true" outlineLevel="0" collapsed="false">
      <c r="A13" s="14"/>
      <c r="B13" s="14"/>
      <c r="C13" s="14"/>
      <c r="D13" s="18"/>
      <c r="E13" s="18"/>
      <c r="F13" s="18"/>
      <c r="G13" s="16"/>
      <c r="H13" s="16"/>
    </row>
    <row r="14" customFormat="false" ht="15" hidden="false" customHeight="true" outlineLevel="0" collapsed="false">
      <c r="A14" s="14"/>
      <c r="B14" s="14"/>
      <c r="C14" s="14"/>
      <c r="D14" s="18"/>
      <c r="E14" s="18"/>
      <c r="F14" s="18"/>
      <c r="G14" s="16"/>
      <c r="H14" s="16"/>
    </row>
    <row r="15" customFormat="false" ht="15" hidden="false" customHeight="true" outlineLevel="0" collapsed="false">
      <c r="A15" s="14"/>
      <c r="B15" s="14"/>
      <c r="C15" s="14"/>
      <c r="D15" s="18"/>
      <c r="E15" s="18"/>
      <c r="F15" s="18"/>
      <c r="G15" s="16"/>
      <c r="H15" s="16"/>
    </row>
    <row r="16" customFormat="false" ht="15" hidden="false" customHeight="true" outlineLevel="0" collapsed="false">
      <c r="A16" s="14"/>
      <c r="B16" s="14"/>
      <c r="C16" s="14"/>
      <c r="D16" s="18"/>
      <c r="E16" s="18"/>
      <c r="F16" s="18"/>
      <c r="G16" s="16"/>
      <c r="H16" s="16"/>
    </row>
    <row r="17" customFormat="false" ht="15" hidden="false" customHeight="true" outlineLevel="0" collapsed="false">
      <c r="A17" s="14"/>
      <c r="B17" s="14"/>
      <c r="C17" s="14"/>
      <c r="D17" s="18"/>
      <c r="E17" s="18"/>
      <c r="F17" s="18"/>
      <c r="G17" s="16"/>
      <c r="H17" s="16"/>
    </row>
    <row r="18" customFormat="false" ht="15" hidden="false" customHeight="true" outlineLevel="0" collapsed="false">
      <c r="A18" s="14"/>
      <c r="B18" s="14"/>
      <c r="C18" s="14"/>
      <c r="D18" s="18"/>
      <c r="E18" s="18"/>
      <c r="F18" s="18"/>
      <c r="G18" s="16"/>
      <c r="H18" s="16"/>
    </row>
    <row r="19" customFormat="false" ht="15" hidden="false" customHeight="true" outlineLevel="0" collapsed="false">
      <c r="A19" s="14"/>
      <c r="B19" s="14"/>
      <c r="C19" s="14"/>
      <c r="D19" s="18"/>
      <c r="E19" s="18"/>
      <c r="F19" s="18"/>
      <c r="G19" s="16"/>
      <c r="H19" s="16"/>
    </row>
    <row r="20" customFormat="false" ht="15" hidden="false" customHeight="true" outlineLevel="0" collapsed="false">
      <c r="A20" s="14"/>
      <c r="B20" s="14"/>
      <c r="C20" s="14"/>
      <c r="D20" s="18"/>
      <c r="E20" s="18"/>
      <c r="F20" s="18"/>
      <c r="G20" s="16"/>
      <c r="H20" s="16"/>
    </row>
    <row r="21" customFormat="false" ht="15" hidden="false" customHeight="true" outlineLevel="0" collapsed="false">
      <c r="A21" s="14"/>
      <c r="B21" s="14"/>
      <c r="C21" s="14"/>
      <c r="D21" s="18"/>
      <c r="E21" s="18"/>
      <c r="F21" s="18"/>
      <c r="G21" s="16"/>
      <c r="H21" s="16"/>
    </row>
    <row r="22" customFormat="false" ht="15" hidden="false" customHeight="true" outlineLevel="0" collapsed="false">
      <c r="A22" s="14"/>
      <c r="B22" s="14"/>
      <c r="C22" s="14"/>
      <c r="D22" s="18"/>
      <c r="E22" s="18"/>
      <c r="F22" s="18"/>
      <c r="G22" s="16"/>
      <c r="H22" s="16"/>
    </row>
    <row r="23" customFormat="false" ht="15" hidden="false" customHeight="true" outlineLevel="0" collapsed="false">
      <c r="A23" s="14"/>
      <c r="B23" s="14"/>
      <c r="C23" s="14"/>
      <c r="D23" s="18"/>
      <c r="E23" s="18"/>
      <c r="F23" s="18"/>
      <c r="G23" s="16"/>
      <c r="H23" s="16"/>
    </row>
    <row r="24" customFormat="false" ht="15" hidden="false" customHeight="true" outlineLevel="0" collapsed="false">
      <c r="A24" s="14"/>
      <c r="B24" s="14"/>
      <c r="C24" s="14"/>
      <c r="D24" s="18"/>
      <c r="E24" s="18"/>
      <c r="F24" s="18"/>
      <c r="G24" s="16"/>
      <c r="H24" s="16"/>
    </row>
    <row r="25" customFormat="false" ht="15" hidden="false" customHeight="true" outlineLevel="0" collapsed="false">
      <c r="A25" s="14"/>
      <c r="B25" s="14"/>
      <c r="C25" s="14"/>
      <c r="D25" s="18"/>
      <c r="E25" s="18"/>
      <c r="F25" s="18"/>
      <c r="G25" s="16"/>
      <c r="H25" s="16"/>
    </row>
    <row r="26" customFormat="false" ht="15" hidden="false" customHeight="true" outlineLevel="0" collapsed="false">
      <c r="A26" s="14"/>
      <c r="B26" s="14"/>
      <c r="C26" s="14"/>
      <c r="D26" s="18"/>
      <c r="E26" s="18"/>
      <c r="F26" s="18"/>
      <c r="G26" s="16"/>
      <c r="H26" s="16"/>
    </row>
    <row r="27" customFormat="false" ht="15" hidden="false" customHeight="true" outlineLevel="0" collapsed="false">
      <c r="A27" s="14"/>
      <c r="B27" s="14"/>
      <c r="C27" s="14"/>
      <c r="D27" s="18"/>
      <c r="E27" s="18"/>
      <c r="F27" s="18"/>
      <c r="G27" s="16"/>
      <c r="H27" s="16"/>
    </row>
    <row r="28" customFormat="false" ht="15" hidden="false" customHeight="true" outlineLevel="0" collapsed="false">
      <c r="A28" s="14"/>
      <c r="B28" s="14"/>
      <c r="C28" s="14"/>
      <c r="D28" s="18"/>
      <c r="E28" s="18"/>
      <c r="F28" s="18"/>
      <c r="G28" s="16"/>
      <c r="H28" s="16"/>
    </row>
    <row r="29" customFormat="false" ht="15" hidden="false" customHeight="true" outlineLevel="0" collapsed="false">
      <c r="A29" s="14"/>
      <c r="B29" s="14"/>
      <c r="C29" s="14"/>
      <c r="D29" s="18"/>
      <c r="E29" s="18"/>
      <c r="F29" s="18"/>
      <c r="G29" s="16"/>
      <c r="H29" s="16"/>
    </row>
    <row r="30" customFormat="false" ht="15" hidden="false" customHeight="true" outlineLevel="0" collapsed="false">
      <c r="A30" s="14"/>
      <c r="B30" s="14"/>
      <c r="C30" s="14"/>
      <c r="D30" s="18"/>
      <c r="E30" s="18"/>
      <c r="F30" s="18"/>
      <c r="G30" s="16"/>
      <c r="H30" s="16"/>
    </row>
    <row r="31" customFormat="false" ht="15" hidden="false" customHeight="true" outlineLevel="0" collapsed="false">
      <c r="A31" s="14"/>
      <c r="B31" s="14"/>
      <c r="C31" s="14"/>
      <c r="D31" s="18"/>
      <c r="E31" s="18"/>
      <c r="F31" s="18"/>
      <c r="G31" s="16"/>
      <c r="H31" s="16"/>
    </row>
    <row r="32" customFormat="false" ht="15" hidden="false" customHeight="true" outlineLevel="0" collapsed="false">
      <c r="A32" s="14"/>
      <c r="B32" s="14"/>
      <c r="C32" s="14"/>
      <c r="D32" s="18"/>
      <c r="E32" s="18"/>
      <c r="F32" s="18"/>
      <c r="G32" s="16"/>
      <c r="H32" s="16"/>
    </row>
    <row r="33" customFormat="false" ht="15" hidden="false" customHeight="true" outlineLevel="0" collapsed="false">
      <c r="A33" s="14"/>
      <c r="B33" s="14"/>
      <c r="C33" s="14"/>
      <c r="D33" s="18"/>
      <c r="E33" s="18"/>
      <c r="F33" s="18"/>
      <c r="G33" s="16"/>
      <c r="H33" s="16"/>
    </row>
    <row r="34" customFormat="false" ht="15" hidden="false" customHeight="true" outlineLevel="0" collapsed="false">
      <c r="A34" s="14"/>
      <c r="B34" s="14"/>
      <c r="C34" s="14"/>
      <c r="D34" s="18"/>
      <c r="E34" s="18"/>
      <c r="F34" s="18"/>
      <c r="G34" s="16"/>
      <c r="H34" s="16"/>
    </row>
    <row r="35" customFormat="false" ht="15" hidden="false" customHeight="true" outlineLevel="0" collapsed="false">
      <c r="A35" s="14"/>
      <c r="B35" s="14"/>
      <c r="C35" s="14"/>
      <c r="D35" s="18"/>
      <c r="E35" s="18"/>
      <c r="F35" s="18"/>
      <c r="G35" s="16"/>
      <c r="H35" s="16"/>
    </row>
    <row r="36" customFormat="false" ht="15" hidden="false" customHeight="true" outlineLevel="0" collapsed="false">
      <c r="A36" s="14"/>
      <c r="B36" s="14"/>
      <c r="C36" s="14"/>
      <c r="D36" s="18"/>
      <c r="E36" s="18"/>
      <c r="F36" s="18"/>
      <c r="G36" s="16"/>
      <c r="H36" s="16"/>
    </row>
    <row r="37" customFormat="false" ht="15" hidden="false" customHeight="true" outlineLevel="0" collapsed="false">
      <c r="A37" s="14"/>
      <c r="B37" s="14"/>
      <c r="C37" s="14"/>
      <c r="D37" s="18"/>
      <c r="E37" s="18"/>
      <c r="F37" s="18"/>
      <c r="G37" s="16"/>
      <c r="H37" s="16"/>
    </row>
    <row r="38" customFormat="false" ht="15" hidden="false" customHeight="true" outlineLevel="0" collapsed="false">
      <c r="A38" s="14"/>
      <c r="B38" s="14"/>
      <c r="C38" s="14"/>
      <c r="D38" s="18"/>
      <c r="E38" s="18"/>
      <c r="F38" s="18"/>
      <c r="G38" s="16"/>
      <c r="H38" s="16"/>
    </row>
    <row r="39" customFormat="false" ht="15" hidden="false" customHeight="true" outlineLevel="0" collapsed="false">
      <c r="A39" s="14"/>
      <c r="B39" s="14"/>
      <c r="C39" s="14"/>
      <c r="D39" s="18"/>
      <c r="E39" s="18"/>
      <c r="F39" s="18"/>
      <c r="G39" s="16"/>
      <c r="H39" s="16"/>
    </row>
    <row r="40" customFormat="false" ht="15" hidden="false" customHeight="true" outlineLevel="0" collapsed="false">
      <c r="A40" s="14"/>
      <c r="B40" s="14"/>
      <c r="C40" s="14"/>
      <c r="D40" s="18"/>
      <c r="E40" s="18"/>
      <c r="F40" s="18"/>
      <c r="G40" s="16"/>
      <c r="H40" s="16"/>
    </row>
    <row r="41" customFormat="false" ht="15" hidden="false" customHeight="true" outlineLevel="0" collapsed="false">
      <c r="A41" s="14"/>
      <c r="B41" s="14"/>
      <c r="C41" s="14"/>
      <c r="D41" s="18"/>
      <c r="E41" s="18"/>
      <c r="F41" s="18"/>
      <c r="G41" s="16"/>
      <c r="H41" s="16"/>
    </row>
    <row r="42" customFormat="false" ht="15" hidden="false" customHeight="true" outlineLevel="0" collapsed="false">
      <c r="A42" s="14"/>
      <c r="B42" s="14"/>
      <c r="C42" s="14"/>
      <c r="D42" s="18"/>
      <c r="E42" s="18"/>
      <c r="F42" s="18"/>
      <c r="G42" s="16"/>
      <c r="H42" s="16"/>
    </row>
    <row r="43" customFormat="false" ht="15" hidden="false" customHeight="true" outlineLevel="0" collapsed="false">
      <c r="A43" s="14"/>
      <c r="B43" s="14"/>
      <c r="C43" s="14"/>
      <c r="D43" s="18"/>
      <c r="E43" s="18"/>
      <c r="F43" s="18"/>
      <c r="G43" s="16"/>
      <c r="H43" s="16"/>
    </row>
    <row r="44" customFormat="false" ht="15" hidden="false" customHeight="true" outlineLevel="0" collapsed="false">
      <c r="A44" s="14"/>
      <c r="B44" s="14"/>
      <c r="C44" s="14"/>
      <c r="D44" s="18"/>
      <c r="E44" s="18"/>
      <c r="F44" s="18"/>
      <c r="G44" s="16"/>
      <c r="H44" s="16"/>
    </row>
    <row r="47" customFormat="false" ht="15" hidden="false" customHeight="true" outlineLevel="0" collapsed="false">
      <c r="A47" s="11" t="s">
        <v>70</v>
      </c>
    </row>
    <row r="48" customFormat="false" ht="26.25" hidden="false" customHeight="true" outlineLevel="0" collapsed="false">
      <c r="A48" s="8" t="s">
        <v>71</v>
      </c>
      <c r="B48" s="8" t="s">
        <v>72</v>
      </c>
      <c r="C48" s="8" t="s">
        <v>73</v>
      </c>
      <c r="D48" s="8" t="s">
        <v>74</v>
      </c>
    </row>
    <row r="49" customFormat="false" ht="15" hidden="false" customHeight="true" outlineLevel="0" collapsed="false">
      <c r="A49" s="14" t="s">
        <v>75</v>
      </c>
      <c r="B49" s="19" t="n">
        <f aca="false">SUMIF(C5:C44,"Raw Materials",E5:E44)</f>
        <v>0</v>
      </c>
      <c r="C49" s="19" t="n">
        <f aca="false">SUMIF(C5:C44,"Raw Materials",F5:F44)</f>
        <v>0</v>
      </c>
      <c r="D49" s="20" t="n">
        <f aca="false">SUMIF(C5:C44,"Raw Materials",H5:H44)</f>
        <v>0</v>
      </c>
    </row>
    <row r="50" customFormat="false" ht="15" hidden="false" customHeight="true" outlineLevel="0" collapsed="false">
      <c r="A50" s="14" t="s">
        <v>76</v>
      </c>
      <c r="B50" s="19" t="n">
        <f aca="false">SUMIF(C5:C44,"Work in Progress",E5:E44)</f>
        <v>0</v>
      </c>
      <c r="C50" s="19" t="n">
        <f aca="false">SUMIF(C5:C44,"Work in Progress",F5:F44)</f>
        <v>0</v>
      </c>
      <c r="D50" s="20" t="n">
        <f aca="false">SUMIF(C5:C44,"Work in Progress",H5:H44)</f>
        <v>0</v>
      </c>
    </row>
    <row r="51" customFormat="false" ht="15" hidden="false" customHeight="true" outlineLevel="0" collapsed="false">
      <c r="A51" s="14" t="s">
        <v>77</v>
      </c>
      <c r="B51" s="19" t="n">
        <f aca="false">SUMIF(C5:C44,"Finished Goods",E5:E44)</f>
        <v>0</v>
      </c>
      <c r="C51" s="19" t="n">
        <f aca="false">SUMIF(C5:C44,"Finished Goods",F5:F44)</f>
        <v>0</v>
      </c>
      <c r="D51" s="20" t="n">
        <f aca="false">SUMIF(C5:C44,"Finished Goods",H5:H44)</f>
        <v>0</v>
      </c>
    </row>
    <row r="52" customFormat="false" ht="15" hidden="false" customHeight="true" outlineLevel="0" collapsed="false">
      <c r="A52" s="14" t="s">
        <v>78</v>
      </c>
      <c r="B52" s="19" t="n">
        <f aca="false">SUMIF(C5:C44,"Scrap/Rework",E5:E44)</f>
        <v>0</v>
      </c>
      <c r="C52" s="19" t="n">
        <f aca="false">SUMIF(C5:C44,"Scrap/Rework",F5:F44)</f>
        <v>0</v>
      </c>
      <c r="D52" s="20" t="n">
        <f aca="false">SUMIF(C5:C44,"Scrap/Rework",H5:H44)</f>
        <v>0</v>
      </c>
    </row>
    <row r="53" customFormat="false" ht="15" hidden="false" customHeight="true" outlineLevel="0" collapsed="false">
      <c r="A53" s="5" t="s">
        <v>79</v>
      </c>
      <c r="B53" s="20" t="n">
        <f aca="false">SUM(D52:D55)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8" min="4" style="1" width="14"/>
  </cols>
  <sheetData>
    <row r="1" customFormat="false" ht="15.75" hidden="false" customHeight="true" outlineLevel="0" collapsed="false">
      <c r="A1" s="6" t="s">
        <v>80</v>
      </c>
    </row>
    <row r="2" customFormat="false" ht="15" hidden="false" customHeight="true" outlineLevel="0" collapsed="false">
      <c r="A2" s="7" t="s">
        <v>81</v>
      </c>
    </row>
    <row r="4" customFormat="false" ht="15" hidden="false" customHeight="true" outlineLevel="0" collapsed="false">
      <c r="A4" s="3" t="s">
        <v>82</v>
      </c>
    </row>
    <row r="5" customFormat="false" ht="15" hidden="false" customHeight="true" outlineLevel="0" collapsed="false">
      <c r="A5" s="21" t="s">
        <v>83</v>
      </c>
      <c r="B5" s="22" t="n">
        <v>0.2</v>
      </c>
    </row>
    <row r="6" customFormat="false" ht="15" hidden="false" customHeight="true" outlineLevel="0" collapsed="false">
      <c r="A6" s="21" t="s">
        <v>84</v>
      </c>
      <c r="B6" s="22" t="n">
        <v>0.65</v>
      </c>
    </row>
    <row r="9" customFormat="false" ht="26.25" hidden="false" customHeight="true" outlineLevel="0" collapsed="false">
      <c r="A9" s="8" t="s">
        <v>53</v>
      </c>
      <c r="B9" s="8" t="s">
        <v>54</v>
      </c>
      <c r="C9" s="8" t="s">
        <v>85</v>
      </c>
      <c r="D9" s="8" t="s">
        <v>86</v>
      </c>
      <c r="E9" s="8" t="s">
        <v>87</v>
      </c>
      <c r="F9" s="8" t="s">
        <v>88</v>
      </c>
      <c r="G9" s="8" t="s">
        <v>89</v>
      </c>
      <c r="H9" s="8" t="s">
        <v>90</v>
      </c>
    </row>
    <row r="10" customFormat="false" ht="15" hidden="false" customHeight="true" outlineLevel="0" collapsed="false">
      <c r="A10" s="9"/>
      <c r="B10" s="9"/>
      <c r="C10" s="16"/>
      <c r="D10" s="23" t="n">
        <f aca="false">C10*(1+$B$5)</f>
        <v>0</v>
      </c>
      <c r="E10" s="23" t="n">
        <f aca="false">C10*(1+$B$6)</f>
        <v>0</v>
      </c>
      <c r="F10" s="18"/>
      <c r="G10" s="18"/>
      <c r="H10" s="9"/>
    </row>
    <row r="11" customFormat="false" ht="15" hidden="false" customHeight="true" outlineLevel="0" collapsed="false">
      <c r="A11" s="9"/>
      <c r="B11" s="9"/>
      <c r="C11" s="16"/>
      <c r="D11" s="23" t="n">
        <f aca="false">C11*(1+$B$5)</f>
        <v>0</v>
      </c>
      <c r="E11" s="23" t="n">
        <f aca="false">C11*(1+$B$6)</f>
        <v>0</v>
      </c>
      <c r="F11" s="18"/>
      <c r="G11" s="18"/>
      <c r="H11" s="9"/>
    </row>
    <row r="12" customFormat="false" ht="15" hidden="false" customHeight="true" outlineLevel="0" collapsed="false">
      <c r="A12" s="9"/>
      <c r="B12" s="9"/>
      <c r="C12" s="16"/>
      <c r="D12" s="23" t="n">
        <f aca="false">C12*(1+$B$5)</f>
        <v>0</v>
      </c>
      <c r="E12" s="23" t="n">
        <f aca="false">C12*(1+$B$6)</f>
        <v>0</v>
      </c>
      <c r="F12" s="18"/>
      <c r="G12" s="18"/>
      <c r="H12" s="9"/>
    </row>
    <row r="13" customFormat="false" ht="15" hidden="false" customHeight="true" outlineLevel="0" collapsed="false">
      <c r="A13" s="9"/>
      <c r="B13" s="9"/>
      <c r="C13" s="16"/>
      <c r="D13" s="23" t="n">
        <f aca="false">C13*(1+$B$5)</f>
        <v>0</v>
      </c>
      <c r="E13" s="23" t="n">
        <f aca="false">C13*(1+$B$6)</f>
        <v>0</v>
      </c>
      <c r="F13" s="18"/>
      <c r="G13" s="18"/>
      <c r="H13" s="9"/>
    </row>
    <row r="14" customFormat="false" ht="15" hidden="false" customHeight="true" outlineLevel="0" collapsed="false">
      <c r="A14" s="9"/>
      <c r="B14" s="9"/>
      <c r="C14" s="16"/>
      <c r="D14" s="23" t="n">
        <f aca="false">C14*(1+$B$5)</f>
        <v>0</v>
      </c>
      <c r="E14" s="23" t="n">
        <f aca="false">C14*(1+$B$6)</f>
        <v>0</v>
      </c>
      <c r="F14" s="18"/>
      <c r="G14" s="18"/>
      <c r="H14" s="9"/>
    </row>
    <row r="15" customFormat="false" ht="15" hidden="false" customHeight="true" outlineLevel="0" collapsed="false">
      <c r="A15" s="9"/>
      <c r="B15" s="9"/>
      <c r="C15" s="16"/>
      <c r="D15" s="23" t="n">
        <f aca="false">C15*(1+$B$5)</f>
        <v>0</v>
      </c>
      <c r="E15" s="23" t="n">
        <f aca="false">C15*(1+$B$6)</f>
        <v>0</v>
      </c>
      <c r="F15" s="18"/>
      <c r="G15" s="18"/>
      <c r="H15" s="9"/>
    </row>
    <row r="16" customFormat="false" ht="15" hidden="false" customHeight="true" outlineLevel="0" collapsed="false">
      <c r="A16" s="9"/>
      <c r="B16" s="9"/>
      <c r="C16" s="16"/>
      <c r="D16" s="23" t="n">
        <f aca="false">C16*(1+$B$5)</f>
        <v>0</v>
      </c>
      <c r="E16" s="23" t="n">
        <f aca="false">C16*(1+$B$6)</f>
        <v>0</v>
      </c>
      <c r="F16" s="18"/>
      <c r="G16" s="18"/>
      <c r="H16" s="9"/>
    </row>
    <row r="17" customFormat="false" ht="15" hidden="false" customHeight="true" outlineLevel="0" collapsed="false">
      <c r="A17" s="9"/>
      <c r="B17" s="9"/>
      <c r="C17" s="16"/>
      <c r="D17" s="23" t="n">
        <f aca="false">C17*(1+$B$5)</f>
        <v>0</v>
      </c>
      <c r="E17" s="23" t="n">
        <f aca="false">C17*(1+$B$6)</f>
        <v>0</v>
      </c>
      <c r="F17" s="18"/>
      <c r="G17" s="18"/>
      <c r="H17" s="9"/>
    </row>
    <row r="18" customFormat="false" ht="15" hidden="false" customHeight="true" outlineLevel="0" collapsed="false">
      <c r="A18" s="9"/>
      <c r="B18" s="9"/>
      <c r="C18" s="16"/>
      <c r="D18" s="23" t="n">
        <f aca="false">C18*(1+$B$5)</f>
        <v>0</v>
      </c>
      <c r="E18" s="23" t="n">
        <f aca="false">C18*(1+$B$6)</f>
        <v>0</v>
      </c>
      <c r="F18" s="18"/>
      <c r="G18" s="18"/>
      <c r="H18" s="9"/>
    </row>
    <row r="19" customFormat="false" ht="15" hidden="false" customHeight="true" outlineLevel="0" collapsed="false">
      <c r="A19" s="9"/>
      <c r="B19" s="9"/>
      <c r="C19" s="16"/>
      <c r="D19" s="23" t="n">
        <f aca="false">C19*(1+$B$5)</f>
        <v>0</v>
      </c>
      <c r="E19" s="23" t="n">
        <f aca="false">C19*(1+$B$6)</f>
        <v>0</v>
      </c>
      <c r="F19" s="18"/>
      <c r="G19" s="18"/>
      <c r="H19" s="9"/>
    </row>
    <row r="20" customFormat="false" ht="15" hidden="false" customHeight="true" outlineLevel="0" collapsed="false">
      <c r="A20" s="9"/>
      <c r="B20" s="9"/>
      <c r="C20" s="16"/>
      <c r="D20" s="23" t="n">
        <f aca="false">C20*(1+$B$5)</f>
        <v>0</v>
      </c>
      <c r="E20" s="23" t="n">
        <f aca="false">C20*(1+$B$6)</f>
        <v>0</v>
      </c>
      <c r="F20" s="18"/>
      <c r="G20" s="18"/>
      <c r="H20" s="9"/>
    </row>
    <row r="21" customFormat="false" ht="15" hidden="false" customHeight="true" outlineLevel="0" collapsed="false">
      <c r="A21" s="9"/>
      <c r="B21" s="9"/>
      <c r="C21" s="16"/>
      <c r="D21" s="23" t="n">
        <f aca="false">C21*(1+$B$5)</f>
        <v>0</v>
      </c>
      <c r="E21" s="23" t="n">
        <f aca="false">C21*(1+$B$6)</f>
        <v>0</v>
      </c>
      <c r="F21" s="18"/>
      <c r="G21" s="18"/>
      <c r="H21" s="9"/>
    </row>
    <row r="22" customFormat="false" ht="15" hidden="false" customHeight="true" outlineLevel="0" collapsed="false">
      <c r="A22" s="9"/>
      <c r="B22" s="9"/>
      <c r="C22" s="16"/>
      <c r="D22" s="23" t="n">
        <f aca="false">C22*(1+$B$5)</f>
        <v>0</v>
      </c>
      <c r="E22" s="23" t="n">
        <f aca="false">C22*(1+$B$6)</f>
        <v>0</v>
      </c>
      <c r="F22" s="18"/>
      <c r="G22" s="18"/>
      <c r="H22" s="9"/>
    </row>
    <row r="23" customFormat="false" ht="15" hidden="false" customHeight="true" outlineLevel="0" collapsed="false">
      <c r="A23" s="9"/>
      <c r="B23" s="9"/>
      <c r="C23" s="16"/>
      <c r="D23" s="23" t="n">
        <f aca="false">C23*(1+$B$5)</f>
        <v>0</v>
      </c>
      <c r="E23" s="23" t="n">
        <f aca="false">C23*(1+$B$6)</f>
        <v>0</v>
      </c>
      <c r="F23" s="18"/>
      <c r="G23" s="18"/>
      <c r="H23" s="9"/>
    </row>
    <row r="24" customFormat="false" ht="15" hidden="false" customHeight="true" outlineLevel="0" collapsed="false">
      <c r="A24" s="9"/>
      <c r="B24" s="9"/>
      <c r="C24" s="16"/>
      <c r="D24" s="23" t="n">
        <f aca="false">C24*(1+$B$5)</f>
        <v>0</v>
      </c>
      <c r="E24" s="23" t="n">
        <f aca="false">C24*(1+$B$6)</f>
        <v>0</v>
      </c>
      <c r="F24" s="18"/>
      <c r="G24" s="18"/>
      <c r="H24" s="9"/>
    </row>
    <row r="25" customFormat="false" ht="15" hidden="false" customHeight="true" outlineLevel="0" collapsed="false">
      <c r="A25" s="9"/>
      <c r="B25" s="9"/>
      <c r="C25" s="16"/>
      <c r="D25" s="23" t="n">
        <f aca="false">C25*(1+$B$5)</f>
        <v>0</v>
      </c>
      <c r="E25" s="23" t="n">
        <f aca="false">C25*(1+$B$6)</f>
        <v>0</v>
      </c>
      <c r="F25" s="18"/>
      <c r="G25" s="18"/>
      <c r="H25" s="9"/>
    </row>
    <row r="26" customFormat="false" ht="15" hidden="false" customHeight="true" outlineLevel="0" collapsed="false">
      <c r="A26" s="9"/>
      <c r="B26" s="9"/>
      <c r="C26" s="16"/>
      <c r="D26" s="23" t="n">
        <f aca="false">C26*(1+$B$5)</f>
        <v>0</v>
      </c>
      <c r="E26" s="23" t="n">
        <f aca="false">C26*(1+$B$6)</f>
        <v>0</v>
      </c>
      <c r="F26" s="18"/>
      <c r="G26" s="18"/>
      <c r="H26" s="9"/>
    </row>
    <row r="27" customFormat="false" ht="15" hidden="false" customHeight="true" outlineLevel="0" collapsed="false">
      <c r="A27" s="9"/>
      <c r="B27" s="9"/>
      <c r="C27" s="16"/>
      <c r="D27" s="23" t="n">
        <f aca="false">C27*(1+$B$5)</f>
        <v>0</v>
      </c>
      <c r="E27" s="23" t="n">
        <f aca="false">C27*(1+$B$6)</f>
        <v>0</v>
      </c>
      <c r="F27" s="18"/>
      <c r="G27" s="18"/>
      <c r="H27" s="9"/>
    </row>
    <row r="28" customFormat="false" ht="15" hidden="false" customHeight="true" outlineLevel="0" collapsed="false">
      <c r="A28" s="9"/>
      <c r="B28" s="9"/>
      <c r="C28" s="16"/>
      <c r="D28" s="23" t="n">
        <f aca="false">C28*(1+$B$5)</f>
        <v>0</v>
      </c>
      <c r="E28" s="23" t="n">
        <f aca="false">C28*(1+$B$6)</f>
        <v>0</v>
      </c>
      <c r="F28" s="18"/>
      <c r="G28" s="18"/>
      <c r="H28" s="9"/>
    </row>
    <row r="29" customFormat="false" ht="15" hidden="false" customHeight="true" outlineLevel="0" collapsed="false">
      <c r="A29" s="9"/>
      <c r="B29" s="9"/>
      <c r="C29" s="16"/>
      <c r="D29" s="23" t="n">
        <f aca="false">C29*(1+$B$5)</f>
        <v>0</v>
      </c>
      <c r="E29" s="23" t="n">
        <f aca="false">C29*(1+$B$6)</f>
        <v>0</v>
      </c>
      <c r="F29" s="18"/>
      <c r="G29" s="18"/>
      <c r="H29" s="9"/>
    </row>
    <row r="32" customFormat="false" ht="15" hidden="false" customHeight="true" outlineLevel="0" collapsed="false">
      <c r="A32" s="11" t="s">
        <v>91</v>
      </c>
    </row>
    <row r="33" customFormat="false" ht="26.25" hidden="false" customHeight="true" outlineLevel="0" collapsed="false">
      <c r="A33" s="8" t="s">
        <v>53</v>
      </c>
      <c r="B33" s="8" t="s">
        <v>54</v>
      </c>
      <c r="C33" s="8" t="s">
        <v>92</v>
      </c>
      <c r="D33" s="8" t="s">
        <v>93</v>
      </c>
      <c r="E33" s="8" t="s">
        <v>94</v>
      </c>
      <c r="F33" s="8" t="s">
        <v>95</v>
      </c>
      <c r="G33" s="8" t="s">
        <v>96</v>
      </c>
    </row>
    <row r="34" customFormat="false" ht="15" hidden="false" customHeight="true" outlineLevel="0" collapsed="false">
      <c r="A34" s="14"/>
      <c r="B34" s="14"/>
      <c r="C34" s="18"/>
      <c r="D34" s="16"/>
      <c r="E34" s="18"/>
      <c r="F34" s="16"/>
      <c r="G34" s="16"/>
    </row>
    <row r="35" customFormat="false" ht="15" hidden="false" customHeight="true" outlineLevel="0" collapsed="false">
      <c r="A35" s="14"/>
      <c r="B35" s="14"/>
      <c r="C35" s="18"/>
      <c r="D35" s="16"/>
      <c r="E35" s="18"/>
      <c r="F35" s="16"/>
      <c r="G35" s="16"/>
    </row>
    <row r="36" customFormat="false" ht="15" hidden="false" customHeight="true" outlineLevel="0" collapsed="false">
      <c r="A36" s="14"/>
      <c r="B36" s="14"/>
      <c r="C36" s="18"/>
      <c r="D36" s="16"/>
      <c r="E36" s="18"/>
      <c r="F36" s="16"/>
      <c r="G36" s="16"/>
    </row>
    <row r="37" customFormat="false" ht="15" hidden="false" customHeight="true" outlineLevel="0" collapsed="false">
      <c r="A37" s="14"/>
      <c r="B37" s="14"/>
      <c r="C37" s="18"/>
      <c r="D37" s="16"/>
      <c r="E37" s="18"/>
      <c r="F37" s="16"/>
      <c r="G37" s="16"/>
    </row>
    <row r="38" customFormat="false" ht="15" hidden="false" customHeight="true" outlineLevel="0" collapsed="false">
      <c r="A38" s="14"/>
      <c r="B38" s="14"/>
      <c r="C38" s="18"/>
      <c r="D38" s="16"/>
      <c r="E38" s="18"/>
      <c r="F38" s="16"/>
      <c r="G38" s="16"/>
    </row>
    <row r="39" customFormat="false" ht="15" hidden="false" customHeight="true" outlineLevel="0" collapsed="false">
      <c r="A39" s="14"/>
      <c r="B39" s="14"/>
      <c r="C39" s="18"/>
      <c r="D39" s="16"/>
      <c r="E39" s="18"/>
      <c r="F39" s="16"/>
      <c r="G39" s="16"/>
    </row>
    <row r="40" customFormat="false" ht="15" hidden="false" customHeight="true" outlineLevel="0" collapsed="false">
      <c r="A40" s="14"/>
      <c r="B40" s="14"/>
      <c r="C40" s="18"/>
      <c r="D40" s="16"/>
      <c r="E40" s="18"/>
      <c r="F40" s="16"/>
      <c r="G40" s="16"/>
    </row>
    <row r="41" customFormat="false" ht="15" hidden="false" customHeight="true" outlineLevel="0" collapsed="false">
      <c r="A41" s="14"/>
      <c r="B41" s="14"/>
      <c r="C41" s="18"/>
      <c r="D41" s="16"/>
      <c r="E41" s="18"/>
      <c r="F41" s="16"/>
      <c r="G41" s="16"/>
    </row>
    <row r="42" customFormat="false" ht="15" hidden="false" customHeight="true" outlineLevel="0" collapsed="false">
      <c r="A42" s="14"/>
      <c r="B42" s="14"/>
      <c r="C42" s="18"/>
      <c r="D42" s="16"/>
      <c r="E42" s="18"/>
      <c r="F42" s="16"/>
      <c r="G42" s="16"/>
    </row>
    <row r="43" customFormat="false" ht="15" hidden="false" customHeight="true" outlineLevel="0" collapsed="false">
      <c r="A43" s="14"/>
      <c r="B43" s="14"/>
      <c r="C43" s="18"/>
      <c r="D43" s="16"/>
      <c r="E43" s="18"/>
      <c r="F43" s="16"/>
      <c r="G4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</cols>
  <sheetData>
    <row r="1" customFormat="false" ht="15.75" hidden="false" customHeight="true" outlineLevel="0" collapsed="false">
      <c r="A1" s="6" t="s">
        <v>97</v>
      </c>
    </row>
    <row r="3" customFormat="false" ht="15" hidden="false" customHeight="true" outlineLevel="0" collapsed="false">
      <c r="A3" s="5" t="s">
        <v>98</v>
      </c>
      <c r="B3" s="24" t="s">
        <v>99</v>
      </c>
    </row>
    <row r="5" customFormat="false" ht="26.25" hidden="false" customHeight="true" outlineLevel="0" collapsed="false">
      <c r="A5" s="8" t="s">
        <v>100</v>
      </c>
      <c r="B5" s="8" t="s">
        <v>101</v>
      </c>
      <c r="C5" s="8" t="s">
        <v>102</v>
      </c>
      <c r="D5" s="8" t="s">
        <v>103</v>
      </c>
      <c r="E5" s="8" t="s">
        <v>37</v>
      </c>
    </row>
    <row r="6" customFormat="false" ht="15" hidden="false" customHeight="true" outlineLevel="0" collapsed="false">
      <c r="A6" s="14" t="s">
        <v>44</v>
      </c>
      <c r="B6" s="25"/>
      <c r="C6" s="26" t="n">
        <v>95</v>
      </c>
      <c r="D6" s="27" t="n">
        <f aca="false">B6-C6</f>
        <v>-95</v>
      </c>
      <c r="E6" s="28" t="str">
        <f aca="false">IF(B6="","",IF(B6&gt;=C6,"✓","✗"))</f>
        <v/>
      </c>
    </row>
    <row r="7" customFormat="false" ht="15" hidden="false" customHeight="true" outlineLevel="0" collapsed="false">
      <c r="A7" s="14" t="s">
        <v>104</v>
      </c>
      <c r="B7" s="25"/>
      <c r="C7" s="26" t="n">
        <v>2.5</v>
      </c>
      <c r="D7" s="27" t="n">
        <f aca="false">B7-C7</f>
        <v>-2.5</v>
      </c>
      <c r="E7" s="28" t="str">
        <f aca="false">IF(B7="","",IF(B7&gt;=C7,"✓","✗"))</f>
        <v/>
      </c>
    </row>
    <row r="8" customFormat="false" ht="15" hidden="false" customHeight="true" outlineLevel="0" collapsed="false">
      <c r="A8" s="14" t="s">
        <v>105</v>
      </c>
      <c r="B8" s="25"/>
      <c r="C8" s="26" t="n">
        <v>95</v>
      </c>
      <c r="D8" s="27" t="n">
        <f aca="false">B8-C8</f>
        <v>-95</v>
      </c>
      <c r="E8" s="28" t="str">
        <f aca="false">IF(B8="","",IF(B8&gt;=C8,"✓","✗"))</f>
        <v/>
      </c>
    </row>
    <row r="9" customFormat="false" ht="15" hidden="false" customHeight="true" outlineLevel="0" collapsed="false">
      <c r="A9" s="14" t="s">
        <v>106</v>
      </c>
      <c r="B9" s="25"/>
      <c r="C9" s="26" t="n">
        <v>5</v>
      </c>
      <c r="D9" s="27" t="n">
        <f aca="false">B9-C9</f>
        <v>-5</v>
      </c>
      <c r="E9" s="28" t="str">
        <f aca="false">IF(B9="","",IF(B9&gt;=C9,"✓","✗"))</f>
        <v/>
      </c>
    </row>
    <row r="10" customFormat="false" ht="15" hidden="false" customHeight="true" outlineLevel="0" collapsed="false">
      <c r="A10" s="14" t="s">
        <v>107</v>
      </c>
      <c r="B10" s="25"/>
      <c r="C10" s="26" t="n">
        <v>85</v>
      </c>
      <c r="D10" s="27" t="n">
        <f aca="false">B10-C10</f>
        <v>-85</v>
      </c>
      <c r="E10" s="28" t="str">
        <f aca="false">IF(B10="","",IF(B10&gt;=C10,"✓","✗"))</f>
        <v/>
      </c>
    </row>
    <row r="11" customFormat="false" ht="15" hidden="false" customHeight="true" outlineLevel="0" collapsed="false">
      <c r="A11" s="14" t="s">
        <v>108</v>
      </c>
      <c r="B11" s="25"/>
      <c r="C11" s="26" t="n">
        <v>0</v>
      </c>
      <c r="D11" s="27" t="n">
        <f aca="false">B11-C11</f>
        <v>0</v>
      </c>
      <c r="E11" s="28" t="str">
        <f aca="false">IF(B11="","",IF(B11&gt;=C11,"✓","✗"))</f>
        <v/>
      </c>
    </row>
    <row r="12" customFormat="false" ht="15" hidden="false" customHeight="true" outlineLevel="0" collapsed="false">
      <c r="A12" s="14" t="s">
        <v>109</v>
      </c>
      <c r="B12" s="25"/>
      <c r="C12" s="26" t="n">
        <v>8</v>
      </c>
      <c r="D12" s="27" t="n">
        <f aca="false">B12-C12</f>
        <v>-8</v>
      </c>
      <c r="E12" s="28" t="str">
        <f aca="false">IF(B12="","",IF(B12&gt;=C12,"✓","✗"))</f>
        <v/>
      </c>
    </row>
    <row r="13" customFormat="false" ht="15" hidden="false" customHeight="true" outlineLevel="0" collapsed="false">
      <c r="A13" s="14" t="s">
        <v>110</v>
      </c>
      <c r="B13" s="16"/>
      <c r="C13" s="29" t="n">
        <v>0</v>
      </c>
      <c r="D13" s="23" t="n">
        <f aca="false">B13-C13</f>
        <v>0</v>
      </c>
      <c r="E13" s="28" t="str">
        <f aca="false">IF(B13="","",IF(B13&gt;=C13,"✓","✗"))</f>
        <v/>
      </c>
    </row>
    <row r="14" customFormat="false" ht="15" hidden="false" customHeight="true" outlineLevel="0" collapsed="false">
      <c r="A14" s="14" t="s">
        <v>111</v>
      </c>
      <c r="B14" s="25"/>
      <c r="C14" s="26" t="n">
        <v>6</v>
      </c>
      <c r="D14" s="27" t="n">
        <f aca="false">B14-C14</f>
        <v>-6</v>
      </c>
      <c r="E14" s="28" t="str">
        <f aca="false">IF(B14="","",IF(B14&gt;=C14,"✓","✗"))</f>
        <v/>
      </c>
    </row>
    <row r="15" customFormat="false" ht="15" hidden="false" customHeight="true" outlineLevel="0" collapsed="false">
      <c r="A15" s="14" t="s">
        <v>112</v>
      </c>
      <c r="B15" s="25"/>
      <c r="C15" s="26" t="n">
        <v>99</v>
      </c>
      <c r="D15" s="27" t="n">
        <f aca="false">B15-C15</f>
        <v>-99</v>
      </c>
      <c r="E15" s="28" t="str">
        <f aca="false">IF(B15="","",IF(B15&gt;=C15,"✓","✗"))</f>
        <v/>
      </c>
    </row>
    <row r="16" customFormat="false" ht="15" hidden="false" customHeight="true" outlineLevel="0" collapsed="false">
      <c r="A16" s="14" t="s">
        <v>113</v>
      </c>
      <c r="B16" s="25"/>
      <c r="C16" s="26" t="n">
        <v>10</v>
      </c>
      <c r="D16" s="27" t="n">
        <f aca="false">B16-C16</f>
        <v>-10</v>
      </c>
      <c r="E16" s="28" t="str">
        <f aca="false">IF(B16="","",IF(B16&gt;=C16,"✓","✗"))</f>
        <v/>
      </c>
    </row>
    <row r="17" customFormat="false" ht="15" hidden="false" customHeight="true" outlineLevel="0" collapsed="false">
      <c r="A17" s="14" t="s">
        <v>114</v>
      </c>
      <c r="B17" s="25"/>
      <c r="C17" s="26" t="n">
        <v>96</v>
      </c>
      <c r="D17" s="27" t="n">
        <f aca="false">B17-C17</f>
        <v>-96</v>
      </c>
      <c r="E17" s="28" t="str">
        <f aca="false">IF(B17="","",IF(B17&gt;=C17,"✓","✗"))</f>
        <v/>
      </c>
    </row>
    <row r="18" customFormat="false" ht="15" hidden="false" customHeight="true" outlineLevel="0" collapsed="false">
      <c r="A18" s="14" t="s">
        <v>115</v>
      </c>
      <c r="B18" s="25"/>
      <c r="C18" s="26" t="n">
        <v>94</v>
      </c>
      <c r="D18" s="27" t="n">
        <f aca="false">B18-C18</f>
        <v>-94</v>
      </c>
      <c r="E18" s="28" t="str">
        <f aca="false">IF(B18="","",IF(B18&gt;=C18,"✓","✗"))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2026-01-31T05:56:47Z</dcterms:created>
  <dc:creator>openpyxl</dc:creator>
  <dc:description/>
  <dc:language>en-US</dc:language>
  <cp:lastModifiedBy/>
  <dcterms:modified xsi:type="dcterms:W3CDTF">2026-01-31T05:56:56Z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