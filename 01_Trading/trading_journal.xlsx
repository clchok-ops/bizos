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Journal" sheetId="1" state="visible" r:id="rId3"/>
    <sheet name="Performance" sheetId="2" state="visible" r:id="rId4"/>
    <sheet name="Equity Curve" sheetId="3" state="visible" r:id="rId5"/>
    <sheet name="Strategy Lab" sheetId="4" state="visible" r:id="rId6"/>
    <sheet name="Lessons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<sst xmlns="http://schemas.openxmlformats.org/spreadsheetml/2006/main" count="82" uniqueCount="75">
  <si>
    <t xml:space="preserve">TRADING JOURNAL</t>
  </si>
  <si>
    <t xml:space="preserve">Learn first, systematize later. Log every trade.</t>
  </si>
  <si>
    <t xml:space="preserve">Blue cells = Input | Black = Calculated</t>
  </si>
  <si>
    <t xml:space="preserve">Date</t>
  </si>
  <si>
    <t xml:space="preserve">Time</t>
  </si>
  <si>
    <t xml:space="preserve">Symbol</t>
  </si>
  <si>
    <t xml:space="preserve">Direction</t>
  </si>
  <si>
    <t xml:space="preserve">Entry Price</t>
  </si>
  <si>
    <t xml:space="preserve">Exit Price</t>
  </si>
  <si>
    <t xml:space="preserve">Qty</t>
  </si>
  <si>
    <t xml:space="preserve">Position Size</t>
  </si>
  <si>
    <t xml:space="preserve">Gross P&amp;L</t>
  </si>
  <si>
    <t xml:space="preserve">Fees</t>
  </si>
  <si>
    <t xml:space="preserve">Net P&amp;L</t>
  </si>
  <si>
    <t xml:space="preserve">R-Multiple</t>
  </si>
  <si>
    <t xml:space="preserve">Win/Loss</t>
  </si>
  <si>
    <t xml:space="preserve">Setup</t>
  </si>
  <si>
    <t xml:space="preserve">Thesis</t>
  </si>
  <si>
    <t xml:space="preserve">What Happened</t>
  </si>
  <si>
    <t xml:space="preserve">Lesson</t>
  </si>
  <si>
    <t xml:space="preserve">Grade</t>
  </si>
  <si>
    <t xml:space="preserve">TRADING PERFORMANCE METRICS</t>
  </si>
  <si>
    <t xml:space="preserve">OVERALL PERFORMANCE</t>
  </si>
  <si>
    <t xml:space="preserve">Total Trades</t>
  </si>
  <si>
    <t xml:space="preserve">Winning Trades</t>
  </si>
  <si>
    <t xml:space="preserve">Losing Trades</t>
  </si>
  <si>
    <t xml:space="preserve">Win Rate</t>
  </si>
  <si>
    <t xml:space="preserve">Total Net P&amp;L</t>
  </si>
  <si>
    <t xml:space="preserve">Average Win</t>
  </si>
  <si>
    <t xml:space="preserve">Average Loss</t>
  </si>
  <si>
    <t xml:space="preserve">Profit Factor</t>
  </si>
  <si>
    <t xml:space="preserve">Expectancy</t>
  </si>
  <si>
    <t xml:space="preserve">Largest Win</t>
  </si>
  <si>
    <t xml:space="preserve">Largest Loss</t>
  </si>
  <si>
    <t xml:space="preserve">Max Consecutive Wins</t>
  </si>
  <si>
    <t xml:space="preserve">Max Consecutive Losses</t>
  </si>
  <si>
    <t xml:space="preserve">TARGETS &amp; THRESHOLDS</t>
  </si>
  <si>
    <t xml:space="preserve">Target Win Rate</t>
  </si>
  <si>
    <t xml:space="preserve">Max Drawdown Threshold</t>
  </si>
  <si>
    <t xml:space="preserve">Max Daily Loss</t>
  </si>
  <si>
    <t xml:space="preserve">Max Position Size</t>
  </si>
  <si>
    <t xml:space="preserve">EQUITY CURVE TRACKER</t>
  </si>
  <si>
    <t xml:space="preserve">Track your account balance over time</t>
  </si>
  <si>
    <t xml:space="preserve">Starting Balance</t>
  </si>
  <si>
    <t xml:space="preserve">Deposits/Withdrawals</t>
  </si>
  <si>
    <t xml:space="preserve">Ending Balance</t>
  </si>
  <si>
    <t xml:space="preserve">High Water Mark</t>
  </si>
  <si>
    <t xml:space="preserve">Drawdown</t>
  </si>
  <si>
    <t xml:space="preserve">Drawdown %</t>
  </si>
  <si>
    <t xml:space="preserve">2026-01-31</t>
  </si>
  <si>
    <t xml:space="preserve">STRATEGY LAB</t>
  </si>
  <si>
    <t xml:space="preserve">Document hypotheses, test them, record results</t>
  </si>
  <si>
    <t xml:space="preserve">ID</t>
  </si>
  <si>
    <t xml:space="preserve">Hypothesis</t>
  </si>
  <si>
    <t xml:space="preserve">Rules</t>
  </si>
  <si>
    <t xml:space="preserve">Start Date</t>
  </si>
  <si>
    <t xml:space="preserve">End Date</t>
  </si>
  <si>
    <t xml:space="preserve">Trades</t>
  </si>
  <si>
    <t xml:space="preserve">Status</t>
  </si>
  <si>
    <t xml:space="preserve">Conclusion</t>
  </si>
  <si>
    <t xml:space="preserve">(Example) Mean reversion works on high-volume stocks</t>
  </si>
  <si>
    <t xml:space="preserve">Entry: RSI &lt; 30, Exit: RSI &gt; 50, Stop: -2%</t>
  </si>
  <si>
    <t xml:space="preserve">Testing</t>
  </si>
  <si>
    <t xml:space="preserve">LESSONS LEARNED</t>
  </si>
  <si>
    <t xml:space="preserve">Patterns, mistakes, insights - review monthly</t>
  </si>
  <si>
    <t xml:space="preserve">Category</t>
  </si>
  <si>
    <t xml:space="preserve">Action Taken</t>
  </si>
  <si>
    <t xml:space="preserve">Recurring?</t>
  </si>
  <si>
    <t xml:space="preserve">Categories:</t>
  </si>
  <si>
    <t xml:space="preserve">Entry</t>
  </si>
  <si>
    <t xml:space="preserve">Exit</t>
  </si>
  <si>
    <t xml:space="preserve">Risk Mgmt</t>
  </si>
  <si>
    <t xml:space="preserve">Psychology</t>
  </si>
  <si>
    <t xml:space="preserve">Market Read</t>
  </si>
  <si>
    <t xml:space="preserve">Process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</si>
</sst>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\$#,##0.00;&quot;($&quot;#,##0.00\);\-"/>
    <numFmt numFmtId="167" formatCode="0.00"/>
    <numFmt numFmtId="168" formatCode="0.0%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25"/>
    <col collapsed="false" customWidth="true" hidden="false" outlineLevel="0" max="17" min="15" style="0" width="40"/>
    <col collapsed="false" customWidth="true" hidden="false" outlineLevel="0" max="18" min="18" style="0" width="8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customFormat="false" ht="15" hidden="false" customHeight="false" outlineLevel="0" collapsed="false">
      <c r="A6" s="3"/>
      <c r="B6" s="3"/>
      <c r="C6" s="3"/>
      <c r="D6" s="3"/>
      <c r="E6" s="4"/>
      <c r="F6" s="4"/>
      <c r="G6" s="3"/>
      <c r="H6" s="5" t="str">
        <f aca="false">IF(E6="","",E6*G6)</f>
        <v/>
      </c>
      <c r="I6" s="6" t="str">
        <f aca="false">IF(OR(E6="",F6=""),"",IF(D6="Long",(F6-E6)*G6,(E6-F6)*G6))</f>
        <v/>
      </c>
      <c r="J6" s="4"/>
      <c r="K6" s="6" t="str">
        <f aca="false">IF(I6="","",I6-J6)</f>
        <v/>
      </c>
      <c r="L6" s="7" t="str">
        <f aca="false">IF(K6="","",K6/H6*100)</f>
        <v/>
      </c>
      <c r="M6" s="0" t="str">
        <f aca="false">IF(K6="","",IF(K6&gt;0,"WIN",IF(K6&lt;0,"LOSS","EVEN")))</f>
        <v/>
      </c>
      <c r="N6" s="3"/>
      <c r="O6" s="3"/>
      <c r="P6" s="3"/>
      <c r="Q6" s="3"/>
      <c r="R6" s="3"/>
    </row>
    <row r="7" customFormat="false" ht="15" hidden="false" customHeight="false" outlineLevel="0" collapsed="false">
      <c r="A7" s="8"/>
      <c r="B7" s="8"/>
      <c r="C7" s="8"/>
      <c r="D7" s="8"/>
      <c r="E7" s="9"/>
      <c r="F7" s="9"/>
      <c r="G7" s="8"/>
      <c r="H7" s="5" t="str">
        <f aca="false">IF(E7="","",E7*G7)</f>
        <v/>
      </c>
      <c r="I7" s="6" t="str">
        <f aca="false">IF(OR(E7="",F7=""),"",IF(D7="Long",(F7-E7)*G7,(E7-F7)*G7))</f>
        <v/>
      </c>
      <c r="J7" s="9"/>
      <c r="K7" s="6" t="str">
        <f aca="false">IF(I7="","",I7-J7)</f>
        <v/>
      </c>
      <c r="L7" s="7" t="str">
        <f aca="false">IF(K7="","",K7/H7*100)</f>
        <v/>
      </c>
      <c r="M7" s="0" t="str">
        <f aca="false">IF(K7="","",IF(K7&gt;0,"WIN",IF(K7&lt;0,"LOSS","EVEN")))</f>
        <v/>
      </c>
      <c r="N7" s="8"/>
      <c r="O7" s="8"/>
      <c r="P7" s="8"/>
      <c r="Q7" s="8"/>
      <c r="R7" s="8"/>
    </row>
    <row r="8" customFormat="false" ht="15" hidden="false" customHeight="false" outlineLevel="0" collapsed="false">
      <c r="A8" s="8"/>
      <c r="B8" s="8"/>
      <c r="C8" s="8"/>
      <c r="D8" s="8"/>
      <c r="E8" s="9"/>
      <c r="F8" s="9"/>
      <c r="G8" s="8"/>
      <c r="H8" s="5" t="str">
        <f aca="false">IF(E8="","",E8*G8)</f>
        <v/>
      </c>
      <c r="I8" s="6" t="str">
        <f aca="false">IF(OR(E8="",F8=""),"",IF(D8="Long",(F8-E8)*G8,(E8-F8)*G8))</f>
        <v/>
      </c>
      <c r="J8" s="9"/>
      <c r="K8" s="6" t="str">
        <f aca="false">IF(I8="","",I8-J8)</f>
        <v/>
      </c>
      <c r="L8" s="7" t="str">
        <f aca="false">IF(K8="","",K8/H8*100)</f>
        <v/>
      </c>
      <c r="M8" s="0" t="str">
        <f aca="false">IF(K8="","",IF(K8&gt;0,"WIN",IF(K8&lt;0,"LOSS","EVEN")))</f>
        <v/>
      </c>
      <c r="N8" s="8"/>
      <c r="O8" s="8"/>
      <c r="P8" s="8"/>
      <c r="Q8" s="8"/>
      <c r="R8" s="8"/>
    </row>
    <row r="9" customFormat="false" ht="15" hidden="false" customHeight="false" outlineLevel="0" collapsed="false">
      <c r="A9" s="8"/>
      <c r="B9" s="8"/>
      <c r="C9" s="8"/>
      <c r="D9" s="8"/>
      <c r="E9" s="9"/>
      <c r="F9" s="9"/>
      <c r="G9" s="8"/>
      <c r="H9" s="5" t="str">
        <f aca="false">IF(E9="","",E9*G9)</f>
        <v/>
      </c>
      <c r="I9" s="6" t="str">
        <f aca="false">IF(OR(E9="",F9=""),"",IF(D9="Long",(F9-E9)*G9,(E9-F9)*G9))</f>
        <v/>
      </c>
      <c r="J9" s="9"/>
      <c r="K9" s="6" t="str">
        <f aca="false">IF(I9="","",I9-J9)</f>
        <v/>
      </c>
      <c r="L9" s="7" t="str">
        <f aca="false">IF(K9="","",K9/H9*100)</f>
        <v/>
      </c>
      <c r="M9" s="0" t="str">
        <f aca="false">IF(K9="","",IF(K9&gt;0,"WIN",IF(K9&lt;0,"LOSS","EVEN")))</f>
        <v/>
      </c>
      <c r="N9" s="8"/>
      <c r="O9" s="8"/>
      <c r="P9" s="8"/>
      <c r="Q9" s="8"/>
      <c r="R9" s="8"/>
    </row>
    <row r="10" customFormat="false" ht="15" hidden="false" customHeight="false" outlineLevel="0" collapsed="false">
      <c r="A10" s="8"/>
      <c r="B10" s="8"/>
      <c r="C10" s="8"/>
      <c r="D10" s="8"/>
      <c r="E10" s="9"/>
      <c r="F10" s="9"/>
      <c r="G10" s="8"/>
      <c r="H10" s="5" t="str">
        <f aca="false">IF(E10="","",E10*G10)</f>
        <v/>
      </c>
      <c r="I10" s="6" t="str">
        <f aca="false">IF(OR(E10="",F10=""),"",IF(D10="Long",(F10-E10)*G10,(E10-F10)*G10))</f>
        <v/>
      </c>
      <c r="J10" s="9"/>
      <c r="K10" s="6" t="str">
        <f aca="false">IF(I10="","",I10-J10)</f>
        <v/>
      </c>
      <c r="L10" s="7" t="str">
        <f aca="false">IF(K10="","",K10/H10*100)</f>
        <v/>
      </c>
      <c r="M10" s="0" t="str">
        <f aca="false">IF(K10="","",IF(K10&gt;0,"WIN",IF(K10&lt;0,"LOSS","EVEN")))</f>
        <v/>
      </c>
      <c r="N10" s="8"/>
      <c r="O10" s="8"/>
      <c r="P10" s="8"/>
      <c r="Q10" s="8"/>
      <c r="R10" s="8"/>
    </row>
    <row r="11" customFormat="false" ht="15" hidden="false" customHeight="false" outlineLevel="0" collapsed="false">
      <c r="A11" s="8"/>
      <c r="B11" s="8"/>
      <c r="C11" s="8"/>
      <c r="D11" s="8"/>
      <c r="E11" s="9"/>
      <c r="F11" s="9"/>
      <c r="G11" s="8"/>
      <c r="H11" s="5" t="str">
        <f aca="false">IF(E11="","",E11*G11)</f>
        <v/>
      </c>
      <c r="I11" s="6" t="str">
        <f aca="false">IF(OR(E11="",F11=""),"",IF(D11="Long",(F11-E11)*G11,(E11-F11)*G11))</f>
        <v/>
      </c>
      <c r="J11" s="9"/>
      <c r="K11" s="6" t="str">
        <f aca="false">IF(I11="","",I11-J11)</f>
        <v/>
      </c>
      <c r="L11" s="7" t="str">
        <f aca="false">IF(K11="","",K11/H11*100)</f>
        <v/>
      </c>
      <c r="M11" s="0" t="str">
        <f aca="false">IF(K11="","",IF(K11&gt;0,"WIN",IF(K11&lt;0,"LOSS","EVEN")))</f>
        <v/>
      </c>
      <c r="N11" s="8"/>
      <c r="O11" s="8"/>
      <c r="P11" s="8"/>
      <c r="Q11" s="8"/>
      <c r="R11" s="8"/>
    </row>
    <row r="12" customFormat="false" ht="15" hidden="false" customHeight="false" outlineLevel="0" collapsed="false">
      <c r="A12" s="8"/>
      <c r="B12" s="8"/>
      <c r="C12" s="8"/>
      <c r="D12" s="8"/>
      <c r="E12" s="9"/>
      <c r="F12" s="9"/>
      <c r="G12" s="8"/>
      <c r="H12" s="5" t="str">
        <f aca="false">IF(E12="","",E12*G12)</f>
        <v/>
      </c>
      <c r="I12" s="6" t="str">
        <f aca="false">IF(OR(E12="",F12=""),"",IF(D12="Long",(F12-E12)*G12,(E12-F12)*G12))</f>
        <v/>
      </c>
      <c r="J12" s="9"/>
      <c r="K12" s="6" t="str">
        <f aca="false">IF(I12="","",I12-J12)</f>
        <v/>
      </c>
      <c r="L12" s="7" t="str">
        <f aca="false">IF(K12="","",K12/H12*100)</f>
        <v/>
      </c>
      <c r="M12" s="0" t="str">
        <f aca="false">IF(K12="","",IF(K12&gt;0,"WIN",IF(K12&lt;0,"LOSS","EVEN")))</f>
        <v/>
      </c>
      <c r="N12" s="8"/>
      <c r="O12" s="8"/>
      <c r="P12" s="8"/>
      <c r="Q12" s="8"/>
      <c r="R12" s="8"/>
    </row>
    <row r="13" customFormat="false" ht="15" hidden="false" customHeight="false" outlineLevel="0" collapsed="false">
      <c r="A13" s="8"/>
      <c r="B13" s="8"/>
      <c r="C13" s="8"/>
      <c r="D13" s="8"/>
      <c r="E13" s="9"/>
      <c r="F13" s="9"/>
      <c r="G13" s="8"/>
      <c r="H13" s="5" t="str">
        <f aca="false">IF(E13="","",E13*G13)</f>
        <v/>
      </c>
      <c r="I13" s="6" t="str">
        <f aca="false">IF(OR(E13="",F13=""),"",IF(D13="Long",(F13-E13)*G13,(E13-F13)*G13))</f>
        <v/>
      </c>
      <c r="J13" s="9"/>
      <c r="K13" s="6" t="str">
        <f aca="false">IF(I13="","",I13-J13)</f>
        <v/>
      </c>
      <c r="L13" s="7" t="str">
        <f aca="false">IF(K13="","",K13/H13*100)</f>
        <v/>
      </c>
      <c r="M13" s="0" t="str">
        <f aca="false">IF(K13="","",IF(K13&gt;0,"WIN",IF(K13&lt;0,"LOSS","EVEN")))</f>
        <v/>
      </c>
      <c r="N13" s="8"/>
      <c r="O13" s="8"/>
      <c r="P13" s="8"/>
      <c r="Q13" s="8"/>
      <c r="R13" s="8"/>
    </row>
    <row r="14" customFormat="false" ht="15" hidden="false" customHeight="false" outlineLevel="0" collapsed="false">
      <c r="A14" s="8"/>
      <c r="B14" s="8"/>
      <c r="C14" s="8"/>
      <c r="D14" s="8"/>
      <c r="E14" s="9"/>
      <c r="F14" s="9"/>
      <c r="G14" s="8"/>
      <c r="H14" s="5" t="str">
        <f aca="false">IF(E14="","",E14*G14)</f>
        <v/>
      </c>
      <c r="I14" s="6" t="str">
        <f aca="false">IF(OR(E14="",F14=""),"",IF(D14="Long",(F14-E14)*G14,(E14-F14)*G14))</f>
        <v/>
      </c>
      <c r="J14" s="9"/>
      <c r="K14" s="6" t="str">
        <f aca="false">IF(I14="","",I14-J14)</f>
        <v/>
      </c>
      <c r="L14" s="7" t="str">
        <f aca="false">IF(K14="","",K14/H14*100)</f>
        <v/>
      </c>
      <c r="M14" s="0" t="str">
        <f aca="false">IF(K14="","",IF(K14&gt;0,"WIN",IF(K14&lt;0,"LOSS","EVEN")))</f>
        <v/>
      </c>
      <c r="N14" s="8"/>
      <c r="O14" s="8"/>
      <c r="P14" s="8"/>
      <c r="Q14" s="8"/>
      <c r="R14" s="8"/>
    </row>
    <row r="15" customFormat="false" ht="15" hidden="false" customHeight="false" outlineLevel="0" collapsed="false">
      <c r="A15" s="8"/>
      <c r="B15" s="8"/>
      <c r="C15" s="8"/>
      <c r="D15" s="8"/>
      <c r="E15" s="9"/>
      <c r="F15" s="9"/>
      <c r="G15" s="8"/>
      <c r="H15" s="5" t="str">
        <f aca="false">IF(E15="","",E15*G15)</f>
        <v/>
      </c>
      <c r="I15" s="6" t="str">
        <f aca="false">IF(OR(E15="",F15=""),"",IF(D15="Long",(F15-E15)*G15,(E15-F15)*G15))</f>
        <v/>
      </c>
      <c r="J15" s="9"/>
      <c r="K15" s="6" t="str">
        <f aca="false">IF(I15="","",I15-J15)</f>
        <v/>
      </c>
      <c r="L15" s="7" t="str">
        <f aca="false">IF(K15="","",K15/H15*100)</f>
        <v/>
      </c>
      <c r="M15" s="0" t="str">
        <f aca="false">IF(K15="","",IF(K15&gt;0,"WIN",IF(K15&lt;0,"LOSS","EVEN")))</f>
        <v/>
      </c>
      <c r="N15" s="8"/>
      <c r="O15" s="8"/>
      <c r="P15" s="8"/>
      <c r="Q15" s="8"/>
      <c r="R15" s="8"/>
    </row>
    <row r="16" customFormat="false" ht="15" hidden="false" customHeight="false" outlineLevel="0" collapsed="false">
      <c r="A16" s="8"/>
      <c r="B16" s="8"/>
      <c r="C16" s="8"/>
      <c r="D16" s="8"/>
      <c r="E16" s="9"/>
      <c r="F16" s="9"/>
      <c r="G16" s="8"/>
      <c r="H16" s="5" t="str">
        <f aca="false">IF(E16="","",E16*G16)</f>
        <v/>
      </c>
      <c r="I16" s="6" t="str">
        <f aca="false">IF(OR(E16="",F16=""),"",IF(D16="Long",(F16-E16)*G16,(E16-F16)*G16))</f>
        <v/>
      </c>
      <c r="J16" s="9"/>
      <c r="K16" s="6" t="str">
        <f aca="false">IF(I16="","",I16-J16)</f>
        <v/>
      </c>
      <c r="L16" s="7" t="str">
        <f aca="false">IF(K16="","",K16/H16*100)</f>
        <v/>
      </c>
      <c r="M16" s="0" t="str">
        <f aca="false">IF(K16="","",IF(K16&gt;0,"WIN",IF(K16&lt;0,"LOSS","EVEN")))</f>
        <v/>
      </c>
      <c r="N16" s="8"/>
      <c r="O16" s="8"/>
      <c r="P16" s="8"/>
      <c r="Q16" s="8"/>
      <c r="R16" s="8"/>
    </row>
    <row r="17" customFormat="false" ht="15" hidden="false" customHeight="false" outlineLevel="0" collapsed="false">
      <c r="A17" s="8"/>
      <c r="B17" s="8"/>
      <c r="C17" s="8"/>
      <c r="D17" s="8"/>
      <c r="E17" s="9"/>
      <c r="F17" s="9"/>
      <c r="G17" s="8"/>
      <c r="H17" s="5" t="str">
        <f aca="false">IF(E17="","",E17*G17)</f>
        <v/>
      </c>
      <c r="I17" s="6" t="str">
        <f aca="false">IF(OR(E17="",F17=""),"",IF(D17="Long",(F17-E17)*G17,(E17-F17)*G17))</f>
        <v/>
      </c>
      <c r="J17" s="9"/>
      <c r="K17" s="6" t="str">
        <f aca="false">IF(I17="","",I17-J17)</f>
        <v/>
      </c>
      <c r="L17" s="7" t="str">
        <f aca="false">IF(K17="","",K17/H17*100)</f>
        <v/>
      </c>
      <c r="M17" s="0" t="str">
        <f aca="false">IF(K17="","",IF(K17&gt;0,"WIN",IF(K17&lt;0,"LOSS","EVEN")))</f>
        <v/>
      </c>
      <c r="N17" s="8"/>
      <c r="O17" s="8"/>
      <c r="P17" s="8"/>
      <c r="Q17" s="8"/>
      <c r="R17" s="8"/>
    </row>
    <row r="18" customFormat="false" ht="15" hidden="false" customHeight="false" outlineLevel="0" collapsed="false">
      <c r="A18" s="8"/>
      <c r="B18" s="8"/>
      <c r="C18" s="8"/>
      <c r="D18" s="8"/>
      <c r="E18" s="9"/>
      <c r="F18" s="9"/>
      <c r="G18" s="8"/>
      <c r="H18" s="5" t="str">
        <f aca="false">IF(E18="","",E18*G18)</f>
        <v/>
      </c>
      <c r="I18" s="6" t="str">
        <f aca="false">IF(OR(E18="",F18=""),"",IF(D18="Long",(F18-E18)*G18,(E18-F18)*G18))</f>
        <v/>
      </c>
      <c r="J18" s="9"/>
      <c r="K18" s="6" t="str">
        <f aca="false">IF(I18="","",I18-J18)</f>
        <v/>
      </c>
      <c r="L18" s="7" t="str">
        <f aca="false">IF(K18="","",K18/H18*100)</f>
        <v/>
      </c>
      <c r="M18" s="0" t="str">
        <f aca="false">IF(K18="","",IF(K18&gt;0,"WIN",IF(K18&lt;0,"LOSS","EVEN")))</f>
        <v/>
      </c>
      <c r="N18" s="8"/>
      <c r="O18" s="8"/>
      <c r="P18" s="8"/>
      <c r="Q18" s="8"/>
      <c r="R18" s="8"/>
    </row>
    <row r="19" customFormat="false" ht="15" hidden="false" customHeight="false" outlineLevel="0" collapsed="false">
      <c r="A19" s="8"/>
      <c r="B19" s="8"/>
      <c r="C19" s="8"/>
      <c r="D19" s="8"/>
      <c r="E19" s="9"/>
      <c r="F19" s="9"/>
      <c r="G19" s="8"/>
      <c r="H19" s="5" t="str">
        <f aca="false">IF(E19="","",E19*G19)</f>
        <v/>
      </c>
      <c r="I19" s="6" t="str">
        <f aca="false">IF(OR(E19="",F19=""),"",IF(D19="Long",(F19-E19)*G19,(E19-F19)*G19))</f>
        <v/>
      </c>
      <c r="J19" s="9"/>
      <c r="K19" s="6" t="str">
        <f aca="false">IF(I19="","",I19-J19)</f>
        <v/>
      </c>
      <c r="L19" s="7" t="str">
        <f aca="false">IF(K19="","",K19/H19*100)</f>
        <v/>
      </c>
      <c r="M19" s="0" t="str">
        <f aca="false">IF(K19="","",IF(K19&gt;0,"WIN",IF(K19&lt;0,"LOSS","EVEN")))</f>
        <v/>
      </c>
      <c r="N19" s="8"/>
      <c r="O19" s="8"/>
      <c r="P19" s="8"/>
      <c r="Q19" s="8"/>
      <c r="R19" s="8"/>
    </row>
    <row r="20" customFormat="false" ht="15" hidden="false" customHeight="false" outlineLevel="0" collapsed="false">
      <c r="A20" s="8"/>
      <c r="B20" s="8"/>
      <c r="C20" s="8"/>
      <c r="D20" s="8"/>
      <c r="E20" s="9"/>
      <c r="F20" s="9"/>
      <c r="G20" s="8"/>
      <c r="H20" s="5" t="str">
        <f aca="false">IF(E20="","",E20*G20)</f>
        <v/>
      </c>
      <c r="I20" s="6" t="str">
        <f aca="false">IF(OR(E20="",F20=""),"",IF(D20="Long",(F20-E20)*G20,(E20-F20)*G20))</f>
        <v/>
      </c>
      <c r="J20" s="9"/>
      <c r="K20" s="6" t="str">
        <f aca="false">IF(I20="","",I20-J20)</f>
        <v/>
      </c>
      <c r="L20" s="7" t="str">
        <f aca="false">IF(K20="","",K20/H20*100)</f>
        <v/>
      </c>
      <c r="M20" s="0" t="str">
        <f aca="false">IF(K20="","",IF(K20&gt;0,"WIN",IF(K20&lt;0,"LOSS","EVEN")))</f>
        <v/>
      </c>
      <c r="N20" s="8"/>
      <c r="O20" s="8"/>
      <c r="P20" s="8"/>
      <c r="Q20" s="8"/>
      <c r="R20" s="8"/>
    </row>
    <row r="21" customFormat="false" ht="15" hidden="false" customHeight="false" outlineLevel="0" collapsed="false">
      <c r="A21" s="8"/>
      <c r="B21" s="8"/>
      <c r="C21" s="8"/>
      <c r="D21" s="8"/>
      <c r="E21" s="9"/>
      <c r="F21" s="9"/>
      <c r="G21" s="8"/>
      <c r="H21" s="5" t="str">
        <f aca="false">IF(E21="","",E21*G21)</f>
        <v/>
      </c>
      <c r="I21" s="6" t="str">
        <f aca="false">IF(OR(E21="",F21=""),"",IF(D21="Long",(F21-E21)*G21,(E21-F21)*G21))</f>
        <v/>
      </c>
      <c r="J21" s="9"/>
      <c r="K21" s="6" t="str">
        <f aca="false">IF(I21="","",I21-J21)</f>
        <v/>
      </c>
      <c r="L21" s="7" t="str">
        <f aca="false">IF(K21="","",K21/H21*100)</f>
        <v/>
      </c>
      <c r="M21" s="0" t="str">
        <f aca="false">IF(K21="","",IF(K21&gt;0,"WIN",IF(K21&lt;0,"LOSS","EVEN")))</f>
        <v/>
      </c>
      <c r="N21" s="8"/>
      <c r="O21" s="8"/>
      <c r="P21" s="8"/>
      <c r="Q21" s="8"/>
      <c r="R21" s="8"/>
    </row>
    <row r="22" customFormat="false" ht="15" hidden="false" customHeight="false" outlineLevel="0" collapsed="false">
      <c r="A22" s="8"/>
      <c r="B22" s="8"/>
      <c r="C22" s="8"/>
      <c r="D22" s="8"/>
      <c r="E22" s="9"/>
      <c r="F22" s="9"/>
      <c r="G22" s="8"/>
      <c r="H22" s="5" t="str">
        <f aca="false">IF(E22="","",E22*G22)</f>
        <v/>
      </c>
      <c r="I22" s="6" t="str">
        <f aca="false">IF(OR(E22="",F22=""),"",IF(D22="Long",(F22-E22)*G22,(E22-F22)*G22))</f>
        <v/>
      </c>
      <c r="J22" s="9"/>
      <c r="K22" s="6" t="str">
        <f aca="false">IF(I22="","",I22-J22)</f>
        <v/>
      </c>
      <c r="L22" s="7" t="str">
        <f aca="false">IF(K22="","",K22/H22*100)</f>
        <v/>
      </c>
      <c r="M22" s="0" t="str">
        <f aca="false">IF(K22="","",IF(K22&gt;0,"WIN",IF(K22&lt;0,"LOSS","EVEN")))</f>
        <v/>
      </c>
      <c r="N22" s="8"/>
      <c r="O22" s="8"/>
      <c r="P22" s="8"/>
      <c r="Q22" s="8"/>
      <c r="R22" s="8"/>
    </row>
    <row r="23" customFormat="false" ht="15" hidden="false" customHeight="false" outlineLevel="0" collapsed="false">
      <c r="A23" s="8"/>
      <c r="B23" s="8"/>
      <c r="C23" s="8"/>
      <c r="D23" s="8"/>
      <c r="E23" s="9"/>
      <c r="F23" s="9"/>
      <c r="G23" s="8"/>
      <c r="H23" s="5" t="str">
        <f aca="false">IF(E23="","",E23*G23)</f>
        <v/>
      </c>
      <c r="I23" s="6" t="str">
        <f aca="false">IF(OR(E23="",F23=""),"",IF(D23="Long",(F23-E23)*G23,(E23-F23)*G23))</f>
        <v/>
      </c>
      <c r="J23" s="9"/>
      <c r="K23" s="6" t="str">
        <f aca="false">IF(I23="","",I23-J23)</f>
        <v/>
      </c>
      <c r="L23" s="7" t="str">
        <f aca="false">IF(K23="","",K23/H23*100)</f>
        <v/>
      </c>
      <c r="M23" s="0" t="str">
        <f aca="false">IF(K23="","",IF(K23&gt;0,"WIN",IF(K23&lt;0,"LOSS","EVEN")))</f>
        <v/>
      </c>
      <c r="N23" s="8"/>
      <c r="O23" s="8"/>
      <c r="P23" s="8"/>
      <c r="Q23" s="8"/>
      <c r="R23" s="8"/>
    </row>
    <row r="24" customFormat="false" ht="15" hidden="false" customHeight="false" outlineLevel="0" collapsed="false">
      <c r="A24" s="8"/>
      <c r="B24" s="8"/>
      <c r="C24" s="8"/>
      <c r="D24" s="8"/>
      <c r="E24" s="9"/>
      <c r="F24" s="9"/>
      <c r="G24" s="8"/>
      <c r="H24" s="5" t="str">
        <f aca="false">IF(E24="","",E24*G24)</f>
        <v/>
      </c>
      <c r="I24" s="6" t="str">
        <f aca="false">IF(OR(E24="",F24=""),"",IF(D24="Long",(F24-E24)*G24,(E24-F24)*G24))</f>
        <v/>
      </c>
      <c r="J24" s="9"/>
      <c r="K24" s="6" t="str">
        <f aca="false">IF(I24="","",I24-J24)</f>
        <v/>
      </c>
      <c r="L24" s="7" t="str">
        <f aca="false">IF(K24="","",K24/H24*100)</f>
        <v/>
      </c>
      <c r="M24" s="0" t="str">
        <f aca="false">IF(K24="","",IF(K24&gt;0,"WIN",IF(K24&lt;0,"LOSS","EVEN")))</f>
        <v/>
      </c>
      <c r="N24" s="8"/>
      <c r="O24" s="8"/>
      <c r="P24" s="8"/>
      <c r="Q24" s="8"/>
      <c r="R24" s="8"/>
    </row>
    <row r="25" customFormat="false" ht="15" hidden="false" customHeight="false" outlineLevel="0" collapsed="false">
      <c r="A25" s="8"/>
      <c r="B25" s="8"/>
      <c r="C25" s="8"/>
      <c r="D25" s="8"/>
      <c r="E25" s="9"/>
      <c r="F25" s="9"/>
      <c r="G25" s="8"/>
      <c r="H25" s="5" t="str">
        <f aca="false">IF(E25="","",E25*G25)</f>
        <v/>
      </c>
      <c r="I25" s="6" t="str">
        <f aca="false">IF(OR(E25="",F25=""),"",IF(D25="Long",(F25-E25)*G25,(E25-F25)*G25))</f>
        <v/>
      </c>
      <c r="J25" s="9"/>
      <c r="K25" s="6" t="str">
        <f aca="false">IF(I25="","",I25-J25)</f>
        <v/>
      </c>
      <c r="L25" s="7" t="str">
        <f aca="false">IF(K25="","",K25/H25*100)</f>
        <v/>
      </c>
      <c r="M25" s="0" t="str">
        <f aca="false">IF(K25="","",IF(K25&gt;0,"WIN",IF(K25&lt;0,"LOSS","EVEN")))</f>
        <v/>
      </c>
      <c r="N25" s="8"/>
      <c r="O25" s="8"/>
      <c r="P25" s="8"/>
      <c r="Q25" s="8"/>
      <c r="R25" s="8"/>
    </row>
    <row r="26" customFormat="false" ht="15" hidden="false" customHeight="false" outlineLevel="0" collapsed="false">
      <c r="A26" s="8"/>
      <c r="B26" s="8"/>
      <c r="C26" s="8"/>
      <c r="D26" s="8"/>
      <c r="E26" s="9"/>
      <c r="F26" s="9"/>
      <c r="G26" s="8"/>
      <c r="H26" s="5" t="str">
        <f aca="false">IF(E26="","",E26*G26)</f>
        <v/>
      </c>
      <c r="I26" s="6" t="str">
        <f aca="false">IF(OR(E26="",F26=""),"",IF(D26="Long",(F26-E26)*G26,(E26-F26)*G26))</f>
        <v/>
      </c>
      <c r="J26" s="9"/>
      <c r="K26" s="6" t="str">
        <f aca="false">IF(I26="","",I26-J26)</f>
        <v/>
      </c>
      <c r="L26" s="7" t="str">
        <f aca="false">IF(K26="","",K26/H26*100)</f>
        <v/>
      </c>
      <c r="M26" s="0" t="str">
        <f aca="false">IF(K26="","",IF(K26&gt;0,"WIN",IF(K26&lt;0,"LOSS","EVEN")))</f>
        <v/>
      </c>
      <c r="N26" s="8"/>
      <c r="O26" s="8"/>
      <c r="P26" s="8"/>
      <c r="Q26" s="8"/>
      <c r="R26" s="8"/>
    </row>
    <row r="27" customFormat="false" ht="15" hidden="false" customHeight="false" outlineLevel="0" collapsed="false">
      <c r="A27" s="8"/>
      <c r="B27" s="8"/>
      <c r="C27" s="8"/>
      <c r="D27" s="8"/>
      <c r="E27" s="9"/>
      <c r="F27" s="9"/>
      <c r="G27" s="8"/>
      <c r="H27" s="5" t="str">
        <f aca="false">IF(E27="","",E27*G27)</f>
        <v/>
      </c>
      <c r="I27" s="6" t="str">
        <f aca="false">IF(OR(E27="",F27=""),"",IF(D27="Long",(F27-E27)*G27,(E27-F27)*G27))</f>
        <v/>
      </c>
      <c r="J27" s="9"/>
      <c r="K27" s="6" t="str">
        <f aca="false">IF(I27="","",I27-J27)</f>
        <v/>
      </c>
      <c r="L27" s="7" t="str">
        <f aca="false">IF(K27="","",K27/H27*100)</f>
        <v/>
      </c>
      <c r="M27" s="0" t="str">
        <f aca="false">IF(K27="","",IF(K27&gt;0,"WIN",IF(K27&lt;0,"LOSS","EVEN")))</f>
        <v/>
      </c>
      <c r="N27" s="8"/>
      <c r="O27" s="8"/>
      <c r="P27" s="8"/>
      <c r="Q27" s="8"/>
      <c r="R27" s="8"/>
    </row>
    <row r="28" customFormat="false" ht="15" hidden="false" customHeight="false" outlineLevel="0" collapsed="false">
      <c r="A28" s="8"/>
      <c r="B28" s="8"/>
      <c r="C28" s="8"/>
      <c r="D28" s="8"/>
      <c r="E28" s="9"/>
      <c r="F28" s="9"/>
      <c r="G28" s="8"/>
      <c r="H28" s="5" t="str">
        <f aca="false">IF(E28="","",E28*G28)</f>
        <v/>
      </c>
      <c r="I28" s="6" t="str">
        <f aca="false">IF(OR(E28="",F28=""),"",IF(D28="Long",(F28-E28)*G28,(E28-F28)*G28))</f>
        <v/>
      </c>
      <c r="J28" s="9"/>
      <c r="K28" s="6" t="str">
        <f aca="false">IF(I28="","",I28-J28)</f>
        <v/>
      </c>
      <c r="L28" s="7" t="str">
        <f aca="false">IF(K28="","",K28/H28*100)</f>
        <v/>
      </c>
      <c r="M28" s="0" t="str">
        <f aca="false">IF(K28="","",IF(K28&gt;0,"WIN",IF(K28&lt;0,"LOSS","EVEN")))</f>
        <v/>
      </c>
      <c r="N28" s="8"/>
      <c r="O28" s="8"/>
      <c r="P28" s="8"/>
      <c r="Q28" s="8"/>
      <c r="R28" s="8"/>
    </row>
    <row r="29" customFormat="false" ht="15" hidden="false" customHeight="false" outlineLevel="0" collapsed="false">
      <c r="A29" s="8"/>
      <c r="B29" s="8"/>
      <c r="C29" s="8"/>
      <c r="D29" s="8"/>
      <c r="E29" s="9"/>
      <c r="F29" s="9"/>
      <c r="G29" s="8"/>
      <c r="H29" s="5" t="str">
        <f aca="false">IF(E29="","",E29*G29)</f>
        <v/>
      </c>
      <c r="I29" s="6" t="str">
        <f aca="false">IF(OR(E29="",F29=""),"",IF(D29="Long",(F29-E29)*G29,(E29-F29)*G29))</f>
        <v/>
      </c>
      <c r="J29" s="9"/>
      <c r="K29" s="6" t="str">
        <f aca="false">IF(I29="","",I29-J29)</f>
        <v/>
      </c>
      <c r="L29" s="7" t="str">
        <f aca="false">IF(K29="","",K29/H29*100)</f>
        <v/>
      </c>
      <c r="M29" s="0" t="str">
        <f aca="false">IF(K29="","",IF(K29&gt;0,"WIN",IF(K29&lt;0,"LOSS","EVEN")))</f>
        <v/>
      </c>
      <c r="N29" s="8"/>
      <c r="O29" s="8"/>
      <c r="P29" s="8"/>
      <c r="Q29" s="8"/>
      <c r="R29" s="8"/>
    </row>
    <row r="30" customFormat="false" ht="15" hidden="false" customHeight="false" outlineLevel="0" collapsed="false">
      <c r="A30" s="8"/>
      <c r="B30" s="8"/>
      <c r="C30" s="8"/>
      <c r="D30" s="8"/>
      <c r="E30" s="9"/>
      <c r="F30" s="9"/>
      <c r="G30" s="8"/>
      <c r="H30" s="5" t="str">
        <f aca="false">IF(E30="","",E30*G30)</f>
        <v/>
      </c>
      <c r="I30" s="6" t="str">
        <f aca="false">IF(OR(E30="",F30=""),"",IF(D30="Long",(F30-E30)*G30,(E30-F30)*G30))</f>
        <v/>
      </c>
      <c r="J30" s="9"/>
      <c r="K30" s="6" t="str">
        <f aca="false">IF(I30="","",I30-J30)</f>
        <v/>
      </c>
      <c r="L30" s="7" t="str">
        <f aca="false">IF(K30="","",K30/H30*100)</f>
        <v/>
      </c>
      <c r="M30" s="0" t="str">
        <f aca="false">IF(K30="","",IF(K30&gt;0,"WIN",IF(K30&lt;0,"LOSS","EVEN")))</f>
        <v/>
      </c>
      <c r="N30" s="8"/>
      <c r="O30" s="8"/>
      <c r="P30" s="8"/>
      <c r="Q30" s="8"/>
      <c r="R30" s="8"/>
    </row>
    <row r="31" customFormat="false" ht="15" hidden="false" customHeight="false" outlineLevel="0" collapsed="false">
      <c r="A31" s="8"/>
      <c r="B31" s="8"/>
      <c r="C31" s="8"/>
      <c r="D31" s="8"/>
      <c r="E31" s="9"/>
      <c r="F31" s="9"/>
      <c r="G31" s="8"/>
      <c r="H31" s="5" t="str">
        <f aca="false">IF(E31="","",E31*G31)</f>
        <v/>
      </c>
      <c r="I31" s="6" t="str">
        <f aca="false">IF(OR(E31="",F31=""),"",IF(D31="Long",(F31-E31)*G31,(E31-F31)*G31))</f>
        <v/>
      </c>
      <c r="J31" s="9"/>
      <c r="K31" s="6" t="str">
        <f aca="false">IF(I31="","",I31-J31)</f>
        <v/>
      </c>
      <c r="L31" s="7" t="str">
        <f aca="false">IF(K31="","",K31/H31*100)</f>
        <v/>
      </c>
      <c r="M31" s="0" t="str">
        <f aca="false">IF(K31="","",IF(K31&gt;0,"WIN",IF(K31&lt;0,"LOSS","EVEN")))</f>
        <v/>
      </c>
      <c r="N31" s="8"/>
      <c r="O31" s="8"/>
      <c r="P31" s="8"/>
      <c r="Q31" s="8"/>
      <c r="R31" s="8"/>
    </row>
    <row r="32" customFormat="false" ht="15" hidden="false" customHeight="false" outlineLevel="0" collapsed="false">
      <c r="A32" s="8"/>
      <c r="B32" s="8"/>
      <c r="C32" s="8"/>
      <c r="D32" s="8"/>
      <c r="E32" s="9"/>
      <c r="F32" s="9"/>
      <c r="G32" s="8"/>
      <c r="H32" s="5" t="str">
        <f aca="false">IF(E32="","",E32*G32)</f>
        <v/>
      </c>
      <c r="I32" s="6" t="str">
        <f aca="false">IF(OR(E32="",F32=""),"",IF(D32="Long",(F32-E32)*G32,(E32-F32)*G32))</f>
        <v/>
      </c>
      <c r="J32" s="9"/>
      <c r="K32" s="6" t="str">
        <f aca="false">IF(I32="","",I32-J32)</f>
        <v/>
      </c>
      <c r="L32" s="7" t="str">
        <f aca="false">IF(K32="","",K32/H32*100)</f>
        <v/>
      </c>
      <c r="M32" s="0" t="str">
        <f aca="false">IF(K32="","",IF(K32&gt;0,"WIN",IF(K32&lt;0,"LOSS","EVEN")))</f>
        <v/>
      </c>
      <c r="N32" s="8"/>
      <c r="O32" s="8"/>
      <c r="P32" s="8"/>
      <c r="Q32" s="8"/>
      <c r="R32" s="8"/>
    </row>
    <row r="33" customFormat="false" ht="15" hidden="false" customHeight="false" outlineLevel="0" collapsed="false">
      <c r="A33" s="8"/>
      <c r="B33" s="8"/>
      <c r="C33" s="8"/>
      <c r="D33" s="8"/>
      <c r="E33" s="9"/>
      <c r="F33" s="9"/>
      <c r="G33" s="8"/>
      <c r="H33" s="5" t="str">
        <f aca="false">IF(E33="","",E33*G33)</f>
        <v/>
      </c>
      <c r="I33" s="6" t="str">
        <f aca="false">IF(OR(E33="",F33=""),"",IF(D33="Long",(F33-E33)*G33,(E33-F33)*G33))</f>
        <v/>
      </c>
      <c r="J33" s="9"/>
      <c r="K33" s="6" t="str">
        <f aca="false">IF(I33="","",I33-J33)</f>
        <v/>
      </c>
      <c r="L33" s="7" t="str">
        <f aca="false">IF(K33="","",K33/H33*100)</f>
        <v/>
      </c>
      <c r="M33" s="0" t="str">
        <f aca="false">IF(K33="","",IF(K33&gt;0,"WIN",IF(K33&lt;0,"LOSS","EVEN")))</f>
        <v/>
      </c>
      <c r="N33" s="8"/>
      <c r="O33" s="8"/>
      <c r="P33" s="8"/>
      <c r="Q33" s="8"/>
      <c r="R33" s="8"/>
    </row>
    <row r="34" customFormat="false" ht="15" hidden="false" customHeight="false" outlineLevel="0" collapsed="false">
      <c r="A34" s="8"/>
      <c r="B34" s="8"/>
      <c r="C34" s="8"/>
      <c r="D34" s="8"/>
      <c r="E34" s="9"/>
      <c r="F34" s="9"/>
      <c r="G34" s="8"/>
      <c r="H34" s="5" t="str">
        <f aca="false">IF(E34="","",E34*G34)</f>
        <v/>
      </c>
      <c r="I34" s="6" t="str">
        <f aca="false">IF(OR(E34="",F34=""),"",IF(D34="Long",(F34-E34)*G34,(E34-F34)*G34))</f>
        <v/>
      </c>
      <c r="J34" s="9"/>
      <c r="K34" s="6" t="str">
        <f aca="false">IF(I34="","",I34-J34)</f>
        <v/>
      </c>
      <c r="L34" s="7" t="str">
        <f aca="false">IF(K34="","",K34/H34*100)</f>
        <v/>
      </c>
      <c r="M34" s="0" t="str">
        <f aca="false">IF(K34="","",IF(K34&gt;0,"WIN",IF(K34&lt;0,"LOSS","EVEN")))</f>
        <v/>
      </c>
      <c r="N34" s="8"/>
      <c r="O34" s="8"/>
      <c r="P34" s="8"/>
      <c r="Q34" s="8"/>
      <c r="R34" s="8"/>
    </row>
    <row r="35" customFormat="false" ht="15" hidden="false" customHeight="false" outlineLevel="0" collapsed="false">
      <c r="A35" s="8"/>
      <c r="B35" s="8"/>
      <c r="C35" s="8"/>
      <c r="D35" s="8"/>
      <c r="E35" s="9"/>
      <c r="F35" s="9"/>
      <c r="G35" s="8"/>
      <c r="H35" s="5" t="str">
        <f aca="false">IF(E35="","",E35*G35)</f>
        <v/>
      </c>
      <c r="I35" s="6" t="str">
        <f aca="false">IF(OR(E35="",F35=""),"",IF(D35="Long",(F35-E35)*G35,(E35-F35)*G35))</f>
        <v/>
      </c>
      <c r="J35" s="9"/>
      <c r="K35" s="6" t="str">
        <f aca="false">IF(I35="","",I35-J35)</f>
        <v/>
      </c>
      <c r="L35" s="7" t="str">
        <f aca="false">IF(K35="","",K35/H35*100)</f>
        <v/>
      </c>
      <c r="M35" s="0" t="str">
        <f aca="false">IF(K35="","",IF(K35&gt;0,"WIN",IF(K35&lt;0,"LOSS","EVEN")))</f>
        <v/>
      </c>
      <c r="N35" s="8"/>
      <c r="O35" s="8"/>
      <c r="P35" s="8"/>
      <c r="Q35" s="8"/>
      <c r="R35" s="8"/>
    </row>
    <row r="36" customFormat="false" ht="15" hidden="false" customHeight="false" outlineLevel="0" collapsed="false">
      <c r="A36" s="8"/>
      <c r="B36" s="8"/>
      <c r="C36" s="8"/>
      <c r="D36" s="8"/>
      <c r="E36" s="9"/>
      <c r="F36" s="9"/>
      <c r="G36" s="8"/>
      <c r="H36" s="5" t="str">
        <f aca="false">IF(E36="","",E36*G36)</f>
        <v/>
      </c>
      <c r="I36" s="6" t="str">
        <f aca="false">IF(OR(E36="",F36=""),"",IF(D36="Long",(F36-E36)*G36,(E36-F36)*G36))</f>
        <v/>
      </c>
      <c r="J36" s="9"/>
      <c r="K36" s="6" t="str">
        <f aca="false">IF(I36="","",I36-J36)</f>
        <v/>
      </c>
      <c r="L36" s="7" t="str">
        <f aca="false">IF(K36="","",K36/H36*100)</f>
        <v/>
      </c>
      <c r="M36" s="0" t="str">
        <f aca="false">IF(K36="","",IF(K36&gt;0,"WIN",IF(K36&lt;0,"LOSS","EVEN")))</f>
        <v/>
      </c>
      <c r="N36" s="8"/>
      <c r="O36" s="8"/>
      <c r="P36" s="8"/>
      <c r="Q36" s="8"/>
      <c r="R36" s="8"/>
    </row>
    <row r="37" customFormat="false" ht="15" hidden="false" customHeight="false" outlineLevel="0" collapsed="false">
      <c r="A37" s="8"/>
      <c r="B37" s="8"/>
      <c r="C37" s="8"/>
      <c r="D37" s="8"/>
      <c r="E37" s="9"/>
      <c r="F37" s="9"/>
      <c r="G37" s="8"/>
      <c r="H37" s="5" t="str">
        <f aca="false">IF(E37="","",E37*G37)</f>
        <v/>
      </c>
      <c r="I37" s="6" t="str">
        <f aca="false">IF(OR(E37="",F37=""),"",IF(D37="Long",(F37-E37)*G37,(E37-F37)*G37))</f>
        <v/>
      </c>
      <c r="J37" s="9"/>
      <c r="K37" s="6" t="str">
        <f aca="false">IF(I37="","",I37-J37)</f>
        <v/>
      </c>
      <c r="L37" s="7" t="str">
        <f aca="false">IF(K37="","",K37/H37*100)</f>
        <v/>
      </c>
      <c r="M37" s="0" t="str">
        <f aca="false">IF(K37="","",IF(K37&gt;0,"WIN",IF(K37&lt;0,"LOSS","EVEN")))</f>
        <v/>
      </c>
      <c r="N37" s="8"/>
      <c r="O37" s="8"/>
      <c r="P37" s="8"/>
      <c r="Q37" s="8"/>
      <c r="R37" s="8"/>
    </row>
    <row r="38" customFormat="false" ht="15" hidden="false" customHeight="false" outlineLevel="0" collapsed="false">
      <c r="A38" s="8"/>
      <c r="B38" s="8"/>
      <c r="C38" s="8"/>
      <c r="D38" s="8"/>
      <c r="E38" s="9"/>
      <c r="F38" s="9"/>
      <c r="G38" s="8"/>
      <c r="H38" s="5" t="str">
        <f aca="false">IF(E38="","",E38*G38)</f>
        <v/>
      </c>
      <c r="I38" s="6" t="str">
        <f aca="false">IF(OR(E38="",F38=""),"",IF(D38="Long",(F38-E38)*G38,(E38-F38)*G38))</f>
        <v/>
      </c>
      <c r="J38" s="9"/>
      <c r="K38" s="6" t="str">
        <f aca="false">IF(I38="","",I38-J38)</f>
        <v/>
      </c>
      <c r="L38" s="7" t="str">
        <f aca="false">IF(K38="","",K38/H38*100)</f>
        <v/>
      </c>
      <c r="M38" s="0" t="str">
        <f aca="false">IF(K38="","",IF(K38&gt;0,"WIN",IF(K38&lt;0,"LOSS","EVEN")))</f>
        <v/>
      </c>
      <c r="N38" s="8"/>
      <c r="O38" s="8"/>
      <c r="P38" s="8"/>
      <c r="Q38" s="8"/>
      <c r="R38" s="8"/>
    </row>
    <row r="39" customFormat="false" ht="15" hidden="false" customHeight="false" outlineLevel="0" collapsed="false">
      <c r="A39" s="8"/>
      <c r="B39" s="8"/>
      <c r="C39" s="8"/>
      <c r="D39" s="8"/>
      <c r="E39" s="9"/>
      <c r="F39" s="9"/>
      <c r="G39" s="8"/>
      <c r="H39" s="5" t="str">
        <f aca="false">IF(E39="","",E39*G39)</f>
        <v/>
      </c>
      <c r="I39" s="6" t="str">
        <f aca="false">IF(OR(E39="",F39=""),"",IF(D39="Long",(F39-E39)*G39,(E39-F39)*G39))</f>
        <v/>
      </c>
      <c r="J39" s="9"/>
      <c r="K39" s="6" t="str">
        <f aca="false">IF(I39="","",I39-J39)</f>
        <v/>
      </c>
      <c r="L39" s="7" t="str">
        <f aca="false">IF(K39="","",K39/H39*100)</f>
        <v/>
      </c>
      <c r="M39" s="0" t="str">
        <f aca="false">IF(K39="","",IF(K39&gt;0,"WIN",IF(K39&lt;0,"LOSS","EVEN")))</f>
        <v/>
      </c>
      <c r="N39" s="8"/>
      <c r="O39" s="8"/>
      <c r="P39" s="8"/>
      <c r="Q39" s="8"/>
      <c r="R39" s="8"/>
    </row>
    <row r="40" customFormat="false" ht="15" hidden="false" customHeight="false" outlineLevel="0" collapsed="false">
      <c r="A40" s="8"/>
      <c r="B40" s="8"/>
      <c r="C40" s="8"/>
      <c r="D40" s="8"/>
      <c r="E40" s="9"/>
      <c r="F40" s="9"/>
      <c r="G40" s="8"/>
      <c r="H40" s="5" t="str">
        <f aca="false">IF(E40="","",E40*G40)</f>
        <v/>
      </c>
      <c r="I40" s="6" t="str">
        <f aca="false">IF(OR(E40="",F40=""),"",IF(D40="Long",(F40-E40)*G40,(E40-F40)*G40))</f>
        <v/>
      </c>
      <c r="J40" s="9"/>
      <c r="K40" s="6" t="str">
        <f aca="false">IF(I40="","",I40-J40)</f>
        <v/>
      </c>
      <c r="L40" s="7" t="str">
        <f aca="false">IF(K40="","",K40/H40*100)</f>
        <v/>
      </c>
      <c r="M40" s="0" t="str">
        <f aca="false">IF(K40="","",IF(K40&gt;0,"WIN",IF(K40&lt;0,"LOSS","EVEN")))</f>
        <v/>
      </c>
      <c r="N40" s="8"/>
      <c r="O40" s="8"/>
      <c r="P40" s="8"/>
      <c r="Q40" s="8"/>
      <c r="R40" s="8"/>
    </row>
    <row r="41" customFormat="false" ht="15" hidden="false" customHeight="false" outlineLevel="0" collapsed="false">
      <c r="A41" s="8"/>
      <c r="B41" s="8"/>
      <c r="C41" s="8"/>
      <c r="D41" s="8"/>
      <c r="E41" s="9"/>
      <c r="F41" s="9"/>
      <c r="G41" s="8"/>
      <c r="H41" s="5" t="str">
        <f aca="false">IF(E41="","",E41*G41)</f>
        <v/>
      </c>
      <c r="I41" s="6" t="str">
        <f aca="false">IF(OR(E41="",F41=""),"",IF(D41="Long",(F41-E41)*G41,(E41-F41)*G41))</f>
        <v/>
      </c>
      <c r="J41" s="9"/>
      <c r="K41" s="6" t="str">
        <f aca="false">IF(I41="","",I41-J41)</f>
        <v/>
      </c>
      <c r="L41" s="7" t="str">
        <f aca="false">IF(K41="","",K41/H41*100)</f>
        <v/>
      </c>
      <c r="M41" s="0" t="str">
        <f aca="false">IF(K41="","",IF(K41&gt;0,"WIN",IF(K41&lt;0,"LOSS","EVEN")))</f>
        <v/>
      </c>
      <c r="N41" s="8"/>
      <c r="O41" s="8"/>
      <c r="P41" s="8"/>
      <c r="Q41" s="8"/>
      <c r="R41" s="8"/>
    </row>
    <row r="42" customFormat="false" ht="15" hidden="false" customHeight="false" outlineLevel="0" collapsed="false">
      <c r="A42" s="8"/>
      <c r="B42" s="8"/>
      <c r="C42" s="8"/>
      <c r="D42" s="8"/>
      <c r="E42" s="9"/>
      <c r="F42" s="9"/>
      <c r="G42" s="8"/>
      <c r="H42" s="5" t="str">
        <f aca="false">IF(E42="","",E42*G42)</f>
        <v/>
      </c>
      <c r="I42" s="6" t="str">
        <f aca="false">IF(OR(E42="",F42=""),"",IF(D42="Long",(F42-E42)*G42,(E42-F42)*G42))</f>
        <v/>
      </c>
      <c r="J42" s="9"/>
      <c r="K42" s="6" t="str">
        <f aca="false">IF(I42="","",I42-J42)</f>
        <v/>
      </c>
      <c r="L42" s="7" t="str">
        <f aca="false">IF(K42="","",K42/H42*100)</f>
        <v/>
      </c>
      <c r="M42" s="0" t="str">
        <f aca="false">IF(K42="","",IF(K42&gt;0,"WIN",IF(K42&lt;0,"LOSS","EVEN")))</f>
        <v/>
      </c>
      <c r="N42" s="8"/>
      <c r="O42" s="8"/>
      <c r="P42" s="8"/>
      <c r="Q42" s="8"/>
      <c r="R42" s="8"/>
    </row>
    <row r="43" customFormat="false" ht="15" hidden="false" customHeight="false" outlineLevel="0" collapsed="false">
      <c r="A43" s="8"/>
      <c r="B43" s="8"/>
      <c r="C43" s="8"/>
      <c r="D43" s="8"/>
      <c r="E43" s="9"/>
      <c r="F43" s="9"/>
      <c r="G43" s="8"/>
      <c r="H43" s="5" t="str">
        <f aca="false">IF(E43="","",E43*G43)</f>
        <v/>
      </c>
      <c r="I43" s="6" t="str">
        <f aca="false">IF(OR(E43="",F43=""),"",IF(D43="Long",(F43-E43)*G43,(E43-F43)*G43))</f>
        <v/>
      </c>
      <c r="J43" s="9"/>
      <c r="K43" s="6" t="str">
        <f aca="false">IF(I43="","",I43-J43)</f>
        <v/>
      </c>
      <c r="L43" s="7" t="str">
        <f aca="false">IF(K43="","",K43/H43*100)</f>
        <v/>
      </c>
      <c r="M43" s="0" t="str">
        <f aca="false">IF(K43="","",IF(K43&gt;0,"WIN",IF(K43&lt;0,"LOSS","EVEN")))</f>
        <v/>
      </c>
      <c r="N43" s="8"/>
      <c r="O43" s="8"/>
      <c r="P43" s="8"/>
      <c r="Q43" s="8"/>
      <c r="R43" s="8"/>
    </row>
    <row r="44" customFormat="false" ht="15" hidden="false" customHeight="false" outlineLevel="0" collapsed="false">
      <c r="A44" s="8"/>
      <c r="B44" s="8"/>
      <c r="C44" s="8"/>
      <c r="D44" s="8"/>
      <c r="E44" s="9"/>
      <c r="F44" s="9"/>
      <c r="G44" s="8"/>
      <c r="H44" s="5" t="str">
        <f aca="false">IF(E44="","",E44*G44)</f>
        <v/>
      </c>
      <c r="I44" s="6" t="str">
        <f aca="false">IF(OR(E44="",F44=""),"",IF(D44="Long",(F44-E44)*G44,(E44-F44)*G44))</f>
        <v/>
      </c>
      <c r="J44" s="9"/>
      <c r="K44" s="6" t="str">
        <f aca="false">IF(I44="","",I44-J44)</f>
        <v/>
      </c>
      <c r="L44" s="7" t="str">
        <f aca="false">IF(K44="","",K44/H44*100)</f>
        <v/>
      </c>
      <c r="M44" s="0" t="str">
        <f aca="false">IF(K44="","",IF(K44&gt;0,"WIN",IF(K44&lt;0,"LOSS","EVEN")))</f>
        <v/>
      </c>
      <c r="N44" s="8"/>
      <c r="O44" s="8"/>
      <c r="P44" s="8"/>
      <c r="Q44" s="8"/>
      <c r="R44" s="8"/>
    </row>
    <row r="45" customFormat="false" ht="15" hidden="false" customHeight="false" outlineLevel="0" collapsed="false">
      <c r="A45" s="8"/>
      <c r="B45" s="8"/>
      <c r="C45" s="8"/>
      <c r="D45" s="8"/>
      <c r="E45" s="9"/>
      <c r="F45" s="9"/>
      <c r="G45" s="8"/>
      <c r="H45" s="5" t="str">
        <f aca="false">IF(E45="","",E45*G45)</f>
        <v/>
      </c>
      <c r="I45" s="6" t="str">
        <f aca="false">IF(OR(E45="",F45=""),"",IF(D45="Long",(F45-E45)*G45,(E45-F45)*G45))</f>
        <v/>
      </c>
      <c r="J45" s="9"/>
      <c r="K45" s="6" t="str">
        <f aca="false">IF(I45="","",I45-J45)</f>
        <v/>
      </c>
      <c r="L45" s="7" t="str">
        <f aca="false">IF(K45="","",K45/H45*100)</f>
        <v/>
      </c>
      <c r="M45" s="0" t="str">
        <f aca="false">IF(K45="","",IF(K45&gt;0,"WIN",IF(K45&lt;0,"LOSS","EVEN")))</f>
        <v/>
      </c>
      <c r="N45" s="8"/>
      <c r="O45" s="8"/>
      <c r="P45" s="8"/>
      <c r="Q45" s="8"/>
      <c r="R45" s="8"/>
    </row>
    <row r="46" customFormat="false" ht="15" hidden="false" customHeight="false" outlineLevel="0" collapsed="false">
      <c r="A46" s="8"/>
      <c r="B46" s="8"/>
      <c r="C46" s="8"/>
      <c r="D46" s="8"/>
      <c r="E46" s="9"/>
      <c r="F46" s="9"/>
      <c r="G46" s="8"/>
      <c r="H46" s="5" t="str">
        <f aca="false">IF(E46="","",E46*G46)</f>
        <v/>
      </c>
      <c r="I46" s="6" t="str">
        <f aca="false">IF(OR(E46="",F46=""),"",IF(D46="Long",(F46-E46)*G46,(E46-F46)*G46))</f>
        <v/>
      </c>
      <c r="J46" s="9"/>
      <c r="K46" s="6" t="str">
        <f aca="false">IF(I46="","",I46-J46)</f>
        <v/>
      </c>
      <c r="L46" s="7" t="str">
        <f aca="false">IF(K46="","",K46/H46*100)</f>
        <v/>
      </c>
      <c r="M46" s="0" t="str">
        <f aca="false">IF(K46="","",IF(K46&gt;0,"WIN",IF(K46&lt;0,"LOSS","EVEN")))</f>
        <v/>
      </c>
      <c r="N46" s="8"/>
      <c r="O46" s="8"/>
      <c r="P46" s="8"/>
      <c r="Q46" s="8"/>
      <c r="R46" s="8"/>
    </row>
    <row r="47" customFormat="false" ht="15" hidden="false" customHeight="false" outlineLevel="0" collapsed="false">
      <c r="A47" s="8"/>
      <c r="B47" s="8"/>
      <c r="C47" s="8"/>
      <c r="D47" s="8"/>
      <c r="E47" s="9"/>
      <c r="F47" s="9"/>
      <c r="G47" s="8"/>
      <c r="H47" s="5" t="str">
        <f aca="false">IF(E47="","",E47*G47)</f>
        <v/>
      </c>
      <c r="I47" s="6" t="str">
        <f aca="false">IF(OR(E47="",F47=""),"",IF(D47="Long",(F47-E47)*G47,(E47-F47)*G47))</f>
        <v/>
      </c>
      <c r="J47" s="9"/>
      <c r="K47" s="6" t="str">
        <f aca="false">IF(I47="","",I47-J47)</f>
        <v/>
      </c>
      <c r="L47" s="7" t="str">
        <f aca="false">IF(K47="","",K47/H47*100)</f>
        <v/>
      </c>
      <c r="M47" s="0" t="str">
        <f aca="false">IF(K47="","",IF(K47&gt;0,"WIN",IF(K47&lt;0,"LOSS","EVEN")))</f>
        <v/>
      </c>
      <c r="N47" s="8"/>
      <c r="O47" s="8"/>
      <c r="P47" s="8"/>
      <c r="Q47" s="8"/>
      <c r="R47" s="8"/>
    </row>
    <row r="48" customFormat="false" ht="15" hidden="false" customHeight="false" outlineLevel="0" collapsed="false">
      <c r="A48" s="8"/>
      <c r="B48" s="8"/>
      <c r="C48" s="8"/>
      <c r="D48" s="8"/>
      <c r="E48" s="9"/>
      <c r="F48" s="9"/>
      <c r="G48" s="8"/>
      <c r="H48" s="5" t="str">
        <f aca="false">IF(E48="","",E48*G48)</f>
        <v/>
      </c>
      <c r="I48" s="6" t="str">
        <f aca="false">IF(OR(E48="",F48=""),"",IF(D48="Long",(F48-E48)*G48,(E48-F48)*G48))</f>
        <v/>
      </c>
      <c r="J48" s="9"/>
      <c r="K48" s="6" t="str">
        <f aca="false">IF(I48="","",I48-J48)</f>
        <v/>
      </c>
      <c r="L48" s="7" t="str">
        <f aca="false">IF(K48="","",K48/H48*100)</f>
        <v/>
      </c>
      <c r="M48" s="0" t="str">
        <f aca="false">IF(K48="","",IF(K48&gt;0,"WIN",IF(K48&lt;0,"LOSS","EVEN")))</f>
        <v/>
      </c>
      <c r="N48" s="8"/>
      <c r="O48" s="8"/>
      <c r="P48" s="8"/>
      <c r="Q48" s="8"/>
      <c r="R48" s="8"/>
    </row>
    <row r="49" customFormat="false" ht="15" hidden="false" customHeight="false" outlineLevel="0" collapsed="false">
      <c r="A49" s="8"/>
      <c r="B49" s="8"/>
      <c r="C49" s="8"/>
      <c r="D49" s="8"/>
      <c r="E49" s="9"/>
      <c r="F49" s="9"/>
      <c r="G49" s="8"/>
      <c r="H49" s="5" t="str">
        <f aca="false">IF(E49="","",E49*G49)</f>
        <v/>
      </c>
      <c r="I49" s="6" t="str">
        <f aca="false">IF(OR(E49="",F49=""),"",IF(D49="Long",(F49-E49)*G49,(E49-F49)*G49))</f>
        <v/>
      </c>
      <c r="J49" s="9"/>
      <c r="K49" s="6" t="str">
        <f aca="false">IF(I49="","",I49-J49)</f>
        <v/>
      </c>
      <c r="L49" s="7" t="str">
        <f aca="false">IF(K49="","",K49/H49*100)</f>
        <v/>
      </c>
      <c r="M49" s="0" t="str">
        <f aca="false">IF(K49="","",IF(K49&gt;0,"WIN",IF(K49&lt;0,"LOSS","EVEN")))</f>
        <v/>
      </c>
      <c r="N49" s="8"/>
      <c r="O49" s="8"/>
      <c r="P49" s="8"/>
      <c r="Q49" s="8"/>
      <c r="R49" s="8"/>
    </row>
    <row r="50" customFormat="false" ht="15" hidden="false" customHeight="false" outlineLevel="0" collapsed="false">
      <c r="A50" s="8"/>
      <c r="B50" s="8"/>
      <c r="C50" s="8"/>
      <c r="D50" s="8"/>
      <c r="E50" s="9"/>
      <c r="F50" s="9"/>
      <c r="G50" s="8"/>
      <c r="H50" s="5" t="str">
        <f aca="false">IF(E50="","",E50*G50)</f>
        <v/>
      </c>
      <c r="I50" s="6" t="str">
        <f aca="false">IF(OR(E50="",F50=""),"",IF(D50="Long",(F50-E50)*G50,(E50-F50)*G50))</f>
        <v/>
      </c>
      <c r="J50" s="9"/>
      <c r="K50" s="6" t="str">
        <f aca="false">IF(I50="","",I50-J50)</f>
        <v/>
      </c>
      <c r="L50" s="7" t="str">
        <f aca="false">IF(K50="","",K50/H50*100)</f>
        <v/>
      </c>
      <c r="M50" s="0" t="str">
        <f aca="false">IF(K50="","",IF(K50&gt;0,"WIN",IF(K50&lt;0,"LOSS","EVEN")))</f>
        <v/>
      </c>
      <c r="N50" s="8"/>
      <c r="O50" s="8"/>
      <c r="P50" s="8"/>
      <c r="Q50" s="8"/>
      <c r="R50" s="8"/>
    </row>
    <row r="51" customFormat="false" ht="15" hidden="false" customHeight="false" outlineLevel="0" collapsed="false">
      <c r="A51" s="8"/>
      <c r="B51" s="8"/>
      <c r="C51" s="8"/>
      <c r="D51" s="8"/>
      <c r="E51" s="9"/>
      <c r="F51" s="9"/>
      <c r="G51" s="8"/>
      <c r="H51" s="5" t="str">
        <f aca="false">IF(E51="","",E51*G51)</f>
        <v/>
      </c>
      <c r="I51" s="6" t="str">
        <f aca="false">IF(OR(E51="",F51=""),"",IF(D51="Long",(F51-E51)*G51,(E51-F51)*G51))</f>
        <v/>
      </c>
      <c r="J51" s="9"/>
      <c r="K51" s="6" t="str">
        <f aca="false">IF(I51="","",I51-J51)</f>
        <v/>
      </c>
      <c r="L51" s="7" t="str">
        <f aca="false">IF(K51="","",K51/H51*100)</f>
        <v/>
      </c>
      <c r="M51" s="0" t="str">
        <f aca="false">IF(K51="","",IF(K51&gt;0,"WIN",IF(K51&lt;0,"LOSS","EVEN")))</f>
        <v/>
      </c>
      <c r="N51" s="8"/>
      <c r="O51" s="8"/>
      <c r="P51" s="8"/>
      <c r="Q51" s="8"/>
      <c r="R51" s="8"/>
    </row>
    <row r="52" customFormat="false" ht="15" hidden="false" customHeight="false" outlineLevel="0" collapsed="false">
      <c r="A52" s="8"/>
      <c r="B52" s="8"/>
      <c r="C52" s="8"/>
      <c r="D52" s="8"/>
      <c r="E52" s="9"/>
      <c r="F52" s="9"/>
      <c r="G52" s="8"/>
      <c r="H52" s="5" t="str">
        <f aca="false">IF(E52="","",E52*G52)</f>
        <v/>
      </c>
      <c r="I52" s="6" t="str">
        <f aca="false">IF(OR(E52="",F52=""),"",IF(D52="Long",(F52-E52)*G52,(E52-F52)*G52))</f>
        <v/>
      </c>
      <c r="J52" s="9"/>
      <c r="K52" s="6" t="str">
        <f aca="false">IF(I52="","",I52-J52)</f>
        <v/>
      </c>
      <c r="L52" s="7" t="str">
        <f aca="false">IF(K52="","",K52/H52*100)</f>
        <v/>
      </c>
      <c r="M52" s="0" t="str">
        <f aca="false">IF(K52="","",IF(K52&gt;0,"WIN",IF(K52&lt;0,"LOSS","EVEN")))</f>
        <v/>
      </c>
      <c r="N52" s="8"/>
      <c r="O52" s="8"/>
      <c r="P52" s="8"/>
      <c r="Q52" s="8"/>
      <c r="R52" s="8"/>
    </row>
    <row r="53" customFormat="false" ht="15" hidden="false" customHeight="false" outlineLevel="0" collapsed="false">
      <c r="A53" s="8"/>
      <c r="B53" s="8"/>
      <c r="C53" s="8"/>
      <c r="D53" s="8"/>
      <c r="E53" s="9"/>
      <c r="F53" s="9"/>
      <c r="G53" s="8"/>
      <c r="H53" s="5" t="str">
        <f aca="false">IF(E53="","",E53*G53)</f>
        <v/>
      </c>
      <c r="I53" s="6" t="str">
        <f aca="false">IF(OR(E53="",F53=""),"",IF(D53="Long",(F53-E53)*G53,(E53-F53)*G53))</f>
        <v/>
      </c>
      <c r="J53" s="9"/>
      <c r="K53" s="6" t="str">
        <f aca="false">IF(I53="","",I53-J53)</f>
        <v/>
      </c>
      <c r="L53" s="7" t="str">
        <f aca="false">IF(K53="","",K53/H53*100)</f>
        <v/>
      </c>
      <c r="M53" s="0" t="str">
        <f aca="false">IF(K53="","",IF(K53&gt;0,"WIN",IF(K53&lt;0,"LOSS","EVEN")))</f>
        <v/>
      </c>
      <c r="N53" s="8"/>
      <c r="O53" s="8"/>
      <c r="P53" s="8"/>
      <c r="Q53" s="8"/>
      <c r="R53" s="8"/>
    </row>
    <row r="54" customFormat="false" ht="15" hidden="false" customHeight="false" outlineLevel="0" collapsed="false">
      <c r="A54" s="8"/>
      <c r="B54" s="8"/>
      <c r="C54" s="8"/>
      <c r="D54" s="8"/>
      <c r="E54" s="9"/>
      <c r="F54" s="9"/>
      <c r="G54" s="8"/>
      <c r="H54" s="5" t="str">
        <f aca="false">IF(E54="","",E54*G54)</f>
        <v/>
      </c>
      <c r="I54" s="6" t="str">
        <f aca="false">IF(OR(E54="",F54=""),"",IF(D54="Long",(F54-E54)*G54,(E54-F54)*G54))</f>
        <v/>
      </c>
      <c r="J54" s="9"/>
      <c r="K54" s="6" t="str">
        <f aca="false">IF(I54="","",I54-J54)</f>
        <v/>
      </c>
      <c r="L54" s="7" t="str">
        <f aca="false">IF(K54="","",K54/H54*100)</f>
        <v/>
      </c>
      <c r="M54" s="0" t="str">
        <f aca="false">IF(K54="","",IF(K54&gt;0,"WIN",IF(K54&lt;0,"LOSS","EVEN")))</f>
        <v/>
      </c>
      <c r="N54" s="8"/>
      <c r="O54" s="8"/>
      <c r="P54" s="8"/>
      <c r="Q54" s="8"/>
      <c r="R54" s="8"/>
    </row>
    <row r="55" customFormat="false" ht="15" hidden="false" customHeight="false" outlineLevel="0" collapsed="false">
      <c r="A55" s="8"/>
      <c r="B55" s="8"/>
      <c r="C55" s="8"/>
      <c r="D55" s="8"/>
      <c r="E55" s="9"/>
      <c r="F55" s="9"/>
      <c r="G55" s="8"/>
      <c r="H55" s="5" t="str">
        <f aca="false">IF(E55="","",E55*G55)</f>
        <v/>
      </c>
      <c r="I55" s="6" t="str">
        <f aca="false">IF(OR(E55="",F55=""),"",IF(D55="Long",(F55-E55)*G55,(E55-F55)*G55))</f>
        <v/>
      </c>
      <c r="J55" s="9"/>
      <c r="K55" s="6" t="str">
        <f aca="false">IF(I55="","",I55-J55)</f>
        <v/>
      </c>
      <c r="L55" s="7" t="str">
        <f aca="false">IF(K55="","",K55/H55*100)</f>
        <v/>
      </c>
      <c r="M55" s="0" t="str">
        <f aca="false">IF(K55="","",IF(K55&gt;0,"WIN",IF(K55&lt;0,"LOSS","EVEN")))</f>
        <v/>
      </c>
      <c r="N55" s="8"/>
      <c r="O55" s="8"/>
      <c r="P55" s="8"/>
      <c r="Q55" s="8"/>
      <c r="R5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0" t="s">
        <v>21</v>
      </c>
    </row>
    <row r="3" customFormat="false" ht="17.35" hidden="false" customHeight="false" outlineLevel="0" collapsed="false">
      <c r="A3" s="11" t="s">
        <v>22</v>
      </c>
    </row>
    <row r="5" customFormat="false" ht="15" hidden="false" customHeight="false" outlineLevel="0" collapsed="false">
      <c r="A5" s="0" t="s">
        <v>23</v>
      </c>
      <c r="B5" s="0" t="n">
        <f aca="false">COUNTA('Trade Journal'!A6:A55)</f>
        <v>0</v>
      </c>
    </row>
    <row r="6" customFormat="false" ht="15" hidden="false" customHeight="false" outlineLevel="0" collapsed="false">
      <c r="A6" s="0" t="s">
        <v>24</v>
      </c>
      <c r="B6" s="0" t="n">
        <f aca="false">COUNTIF('Trade Journal'!M6:M55,"WIN")</f>
        <v>0</v>
      </c>
    </row>
    <row r="7" customFormat="false" ht="15" hidden="false" customHeight="false" outlineLevel="0" collapsed="false">
      <c r="A7" s="0" t="s">
        <v>25</v>
      </c>
      <c r="B7" s="0" t="n">
        <f aca="false">COUNTIF('Trade Journal'!M6:M55,"LOSS")</f>
        <v>0</v>
      </c>
    </row>
    <row r="8" customFormat="false" ht="15" hidden="false" customHeight="false" outlineLevel="0" collapsed="false">
      <c r="A8" s="0" t="s">
        <v>26</v>
      </c>
      <c r="B8" s="12" t="n">
        <f aca="false">IF(B5&gt;0,B6/B5,0)</f>
        <v>0</v>
      </c>
    </row>
    <row r="9" customFormat="false" ht="15" hidden="false" customHeight="false" outlineLevel="0" collapsed="false">
      <c r="A9" s="0" t="s">
        <v>27</v>
      </c>
      <c r="B9" s="5" t="n">
        <f aca="false">SUM('Trade Journal'!K6:K55)</f>
        <v>0</v>
      </c>
    </row>
    <row r="10" customFormat="false" ht="15" hidden="false" customHeight="false" outlineLevel="0" collapsed="false">
      <c r="A10" s="0" t="s">
        <v>28</v>
      </c>
      <c r="B10" s="5" t="n">
        <f aca="false">IF(B6&gt;0,SUMIF('Trade Journal'!M6:M55,"WIN",'Trade Journal'!K6:K55)/B6,0)</f>
        <v>0</v>
      </c>
    </row>
    <row r="11" customFormat="false" ht="15" hidden="false" customHeight="false" outlineLevel="0" collapsed="false">
      <c r="A11" s="0" t="s">
        <v>29</v>
      </c>
      <c r="B11" s="5" t="n">
        <f aca="false">IF(B7&gt;0,SUMIF('Trade Journal'!M6:M55,"LOSS",'Trade Journal'!K6:K55)/B7,0)</f>
        <v>0</v>
      </c>
    </row>
    <row r="12" customFormat="false" ht="15" hidden="false" customHeight="false" outlineLevel="0" collapsed="false">
      <c r="A12" s="0" t="s">
        <v>30</v>
      </c>
      <c r="B12" s="7" t="n">
        <f aca="false">IF(B11&lt;&gt;0,-SUMIF('Trade Journal'!M6:M55,"WIN",'Trade Journal'!K6:K55)/SUMIF('Trade Journal'!M6:M55,"LOSS",'Trade Journal'!K6:K55),0)</f>
        <v>0</v>
      </c>
    </row>
    <row r="13" customFormat="false" ht="15" hidden="false" customHeight="false" outlineLevel="0" collapsed="false">
      <c r="A13" s="0" t="s">
        <v>31</v>
      </c>
      <c r="B13" s="5" t="n">
        <f aca="false">IF(B5&gt;0,B9/B5,0)</f>
        <v>0</v>
      </c>
    </row>
    <row r="14" customFormat="false" ht="15" hidden="false" customHeight="false" outlineLevel="0" collapsed="false">
      <c r="A14" s="0" t="s">
        <v>32</v>
      </c>
      <c r="B14" s="5" t="n">
        <f aca="false">MAX('Trade Journal'!K6:K55)</f>
        <v>0</v>
      </c>
    </row>
    <row r="15" customFormat="false" ht="15" hidden="false" customHeight="false" outlineLevel="0" collapsed="false">
      <c r="A15" s="0" t="s">
        <v>33</v>
      </c>
      <c r="B15" s="5" t="n">
        <f aca="false">MIN('Trade Journal'!K6:K55)</f>
        <v>0</v>
      </c>
    </row>
    <row r="16" customFormat="false" ht="15" hidden="false" customHeight="false" outlineLevel="0" collapsed="false">
      <c r="A16" s="0" t="s">
        <v>34</v>
      </c>
    </row>
    <row r="17" customFormat="false" ht="15" hidden="false" customHeight="false" outlineLevel="0" collapsed="false">
      <c r="A17" s="0" t="s">
        <v>35</v>
      </c>
    </row>
    <row r="19" customFormat="false" ht="17.35" hidden="false" customHeight="false" outlineLevel="0" collapsed="false">
      <c r="A19" s="11" t="s">
        <v>36</v>
      </c>
    </row>
    <row r="20" customFormat="false" ht="15" hidden="false" customHeight="false" outlineLevel="0" collapsed="false">
      <c r="A20" s="0" t="s">
        <v>37</v>
      </c>
      <c r="B20" s="13" t="n">
        <v>0.4</v>
      </c>
    </row>
    <row r="21" customFormat="false" ht="15" hidden="false" customHeight="false" outlineLevel="0" collapsed="false">
      <c r="A21" s="0" t="s">
        <v>38</v>
      </c>
      <c r="B21" s="13" t="n">
        <v>0.05</v>
      </c>
    </row>
    <row r="22" customFormat="false" ht="15" hidden="false" customHeight="false" outlineLevel="0" collapsed="false">
      <c r="A22" s="0" t="s">
        <v>39</v>
      </c>
      <c r="B22" s="13" t="n">
        <v>0.02</v>
      </c>
    </row>
    <row r="23" customFormat="false" ht="15" hidden="false" customHeight="false" outlineLevel="0" collapsed="false">
      <c r="A23" s="0" t="s">
        <v>40</v>
      </c>
      <c r="B23" s="1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9.7" hidden="false" customHeight="false" outlineLevel="0" collapsed="false">
      <c r="A1" s="10" t="s">
        <v>41</v>
      </c>
    </row>
    <row r="2" customFormat="false" ht="15" hidden="false" customHeight="false" outlineLevel="0" collapsed="false">
      <c r="A2" s="0" t="s">
        <v>42</v>
      </c>
    </row>
    <row r="4" customFormat="false" ht="15" hidden="false" customHeight="false" outlineLevel="0" collapsed="false">
      <c r="A4" s="14" t="s">
        <v>3</v>
      </c>
      <c r="B4" s="14" t="s">
        <v>43</v>
      </c>
      <c r="C4" s="14" t="s">
        <v>44</v>
      </c>
      <c r="D4" s="14" t="s">
        <v>13</v>
      </c>
      <c r="E4" s="14" t="s">
        <v>45</v>
      </c>
      <c r="F4" s="14" t="s">
        <v>46</v>
      </c>
      <c r="G4" s="14" t="s">
        <v>47</v>
      </c>
      <c r="H4" s="14" t="s">
        <v>48</v>
      </c>
    </row>
    <row r="5" customFormat="false" ht="15" hidden="false" customHeight="false" outlineLevel="0" collapsed="false">
      <c r="A5" s="0" t="s">
        <v>49</v>
      </c>
      <c r="B5" s="9" t="n">
        <v>10000</v>
      </c>
      <c r="C5" s="9" t="n">
        <v>0</v>
      </c>
      <c r="D5" s="9" t="n">
        <v>0</v>
      </c>
      <c r="E5" s="5" t="n">
        <f aca="false">B5+C5+D5</f>
        <v>10000</v>
      </c>
      <c r="F5" s="5" t="n">
        <f aca="false">E5</f>
        <v>10000</v>
      </c>
      <c r="G5" s="5" t="n">
        <f aca="false">F5-E5</f>
        <v>0</v>
      </c>
      <c r="H5" s="12" t="n">
        <f aca="false">IF(F5&gt;0,G5/F5,0)</f>
        <v>0</v>
      </c>
    </row>
    <row r="6" customFormat="false" ht="15" hidden="false" customHeight="false" outlineLevel="0" collapsed="false">
      <c r="A6" s="8"/>
      <c r="B6" s="5" t="n">
        <f aca="false">E5</f>
        <v>10000</v>
      </c>
      <c r="C6" s="9"/>
      <c r="D6" s="9"/>
      <c r="E6" s="5" t="n">
        <f aca="false">IF(B6="","",B6+C6+D6)</f>
        <v>10000</v>
      </c>
      <c r="F6" s="5" t="n">
        <f aca="false">IF(E6="","",MAX(F5,E6))</f>
        <v>10000</v>
      </c>
      <c r="G6" s="5" t="n">
        <f aca="false">IF(E6="","",F6-E6)</f>
        <v>0</v>
      </c>
      <c r="H6" s="12" t="n">
        <f aca="false">IF(F6&gt;0,G6/F6,0)</f>
        <v>0</v>
      </c>
    </row>
    <row r="7" customFormat="false" ht="15" hidden="false" customHeight="false" outlineLevel="0" collapsed="false">
      <c r="A7" s="8"/>
      <c r="B7" s="5" t="n">
        <f aca="false">E6</f>
        <v>10000</v>
      </c>
      <c r="C7" s="9"/>
      <c r="D7" s="9"/>
      <c r="E7" s="5" t="n">
        <f aca="false">IF(B7="","",B7+C7+D7)</f>
        <v>10000</v>
      </c>
      <c r="F7" s="5" t="n">
        <f aca="false">IF(E7="","",MAX(F6,E7))</f>
        <v>10000</v>
      </c>
      <c r="G7" s="5" t="n">
        <f aca="false">IF(E7="","",F7-E7)</f>
        <v>0</v>
      </c>
      <c r="H7" s="12" t="n">
        <f aca="false">IF(F7&gt;0,G7/F7,0)</f>
        <v>0</v>
      </c>
    </row>
    <row r="8" customFormat="false" ht="15" hidden="false" customHeight="false" outlineLevel="0" collapsed="false">
      <c r="A8" s="8"/>
      <c r="B8" s="5" t="n">
        <f aca="false">E7</f>
        <v>10000</v>
      </c>
      <c r="C8" s="9"/>
      <c r="D8" s="9"/>
      <c r="E8" s="5" t="n">
        <f aca="false">IF(B8="","",B8+C8+D8)</f>
        <v>10000</v>
      </c>
      <c r="F8" s="5" t="n">
        <f aca="false">IF(E8="","",MAX(F7,E8))</f>
        <v>10000</v>
      </c>
      <c r="G8" s="5" t="n">
        <f aca="false">IF(E8="","",F8-E8)</f>
        <v>0</v>
      </c>
      <c r="H8" s="12" t="n">
        <f aca="false">IF(F8&gt;0,G8/F8,0)</f>
        <v>0</v>
      </c>
    </row>
    <row r="9" customFormat="false" ht="15" hidden="false" customHeight="false" outlineLevel="0" collapsed="false">
      <c r="A9" s="8"/>
      <c r="B9" s="5" t="n">
        <f aca="false">E8</f>
        <v>10000</v>
      </c>
      <c r="C9" s="9"/>
      <c r="D9" s="9"/>
      <c r="E9" s="5" t="n">
        <f aca="false">IF(B9="","",B9+C9+D9)</f>
        <v>10000</v>
      </c>
      <c r="F9" s="5" t="n">
        <f aca="false">IF(E9="","",MAX(F8,E9))</f>
        <v>10000</v>
      </c>
      <c r="G9" s="5" t="n">
        <f aca="false">IF(E9="","",F9-E9)</f>
        <v>0</v>
      </c>
      <c r="H9" s="12" t="n">
        <f aca="false">IF(F9&gt;0,G9/F9,0)</f>
        <v>0</v>
      </c>
    </row>
    <row r="10" customFormat="false" ht="15" hidden="false" customHeight="false" outlineLevel="0" collapsed="false">
      <c r="A10" s="8"/>
      <c r="B10" s="5" t="n">
        <f aca="false">E9</f>
        <v>10000</v>
      </c>
      <c r="C10" s="9"/>
      <c r="D10" s="9"/>
      <c r="E10" s="5" t="n">
        <f aca="false">IF(B10="","",B10+C10+D10)</f>
        <v>10000</v>
      </c>
      <c r="F10" s="5" t="n">
        <f aca="false">IF(E10="","",MAX(F9,E10))</f>
        <v>10000</v>
      </c>
      <c r="G10" s="5" t="n">
        <f aca="false">IF(E10="","",F10-E10)</f>
        <v>0</v>
      </c>
      <c r="H10" s="12" t="n">
        <f aca="false">IF(F10&gt;0,G10/F10,0)</f>
        <v>0</v>
      </c>
    </row>
    <row r="11" customFormat="false" ht="15" hidden="false" customHeight="false" outlineLevel="0" collapsed="false">
      <c r="A11" s="8"/>
      <c r="B11" s="5" t="n">
        <f aca="false">E10</f>
        <v>10000</v>
      </c>
      <c r="C11" s="9"/>
      <c r="D11" s="9"/>
      <c r="E11" s="5" t="n">
        <f aca="false">IF(B11="","",B11+C11+D11)</f>
        <v>10000</v>
      </c>
      <c r="F11" s="5" t="n">
        <f aca="false">IF(E11="","",MAX(F10,E11))</f>
        <v>10000</v>
      </c>
      <c r="G11" s="5" t="n">
        <f aca="false">IF(E11="","",F11-E11)</f>
        <v>0</v>
      </c>
      <c r="H11" s="12" t="n">
        <f aca="false">IF(F11&gt;0,G11/F11,0)</f>
        <v>0</v>
      </c>
    </row>
    <row r="12" customFormat="false" ht="15" hidden="false" customHeight="false" outlineLevel="0" collapsed="false">
      <c r="A12" s="8"/>
      <c r="B12" s="5" t="n">
        <f aca="false">E11</f>
        <v>10000</v>
      </c>
      <c r="C12" s="9"/>
      <c r="D12" s="9"/>
      <c r="E12" s="5" t="n">
        <f aca="false">IF(B12="","",B12+C12+D12)</f>
        <v>10000</v>
      </c>
      <c r="F12" s="5" t="n">
        <f aca="false">IF(E12="","",MAX(F11,E12))</f>
        <v>10000</v>
      </c>
      <c r="G12" s="5" t="n">
        <f aca="false">IF(E12="","",F12-E12)</f>
        <v>0</v>
      </c>
      <c r="H12" s="12" t="n">
        <f aca="false">IF(F12&gt;0,G12/F12,0)</f>
        <v>0</v>
      </c>
    </row>
    <row r="13" customFormat="false" ht="15" hidden="false" customHeight="false" outlineLevel="0" collapsed="false">
      <c r="A13" s="8"/>
      <c r="B13" s="5" t="n">
        <f aca="false">E12</f>
        <v>10000</v>
      </c>
      <c r="C13" s="9"/>
      <c r="D13" s="9"/>
      <c r="E13" s="5" t="n">
        <f aca="false">IF(B13="","",B13+C13+D13)</f>
        <v>10000</v>
      </c>
      <c r="F13" s="5" t="n">
        <f aca="false">IF(E13="","",MAX(F12,E13))</f>
        <v>10000</v>
      </c>
      <c r="G13" s="5" t="n">
        <f aca="false">IF(E13="","",F13-E13)</f>
        <v>0</v>
      </c>
      <c r="H13" s="12" t="n">
        <f aca="false">IF(F13&gt;0,G13/F13,0)</f>
        <v>0</v>
      </c>
    </row>
    <row r="14" customFormat="false" ht="15" hidden="false" customHeight="false" outlineLevel="0" collapsed="false">
      <c r="A14" s="8"/>
      <c r="B14" s="5" t="n">
        <f aca="false">E13</f>
        <v>10000</v>
      </c>
      <c r="C14" s="9"/>
      <c r="D14" s="9"/>
      <c r="E14" s="5" t="n">
        <f aca="false">IF(B14="","",B14+C14+D14)</f>
        <v>10000</v>
      </c>
      <c r="F14" s="5" t="n">
        <f aca="false">IF(E14="","",MAX(F13,E14))</f>
        <v>10000</v>
      </c>
      <c r="G14" s="5" t="n">
        <f aca="false">IF(E14="","",F14-E14)</f>
        <v>0</v>
      </c>
      <c r="H14" s="12" t="n">
        <f aca="false">IF(F14&gt;0,G14/F14,0)</f>
        <v>0</v>
      </c>
    </row>
    <row r="15" customFormat="false" ht="15" hidden="false" customHeight="false" outlineLevel="0" collapsed="false">
      <c r="A15" s="8"/>
      <c r="B15" s="5" t="n">
        <f aca="false">E14</f>
        <v>10000</v>
      </c>
      <c r="C15" s="9"/>
      <c r="D15" s="9"/>
      <c r="E15" s="5" t="n">
        <f aca="false">IF(B15="","",B15+C15+D15)</f>
        <v>10000</v>
      </c>
      <c r="F15" s="5" t="n">
        <f aca="false">IF(E15="","",MAX(F14,E15))</f>
        <v>10000</v>
      </c>
      <c r="G15" s="5" t="n">
        <f aca="false">IF(E15="","",F15-E15)</f>
        <v>0</v>
      </c>
      <c r="H15" s="12" t="n">
        <f aca="false">IF(F15&gt;0,G15/F15,0)</f>
        <v>0</v>
      </c>
    </row>
    <row r="16" customFormat="false" ht="15" hidden="false" customHeight="false" outlineLevel="0" collapsed="false">
      <c r="A16" s="8"/>
      <c r="B16" s="5" t="n">
        <f aca="false">E15</f>
        <v>10000</v>
      </c>
      <c r="C16" s="9"/>
      <c r="D16" s="9"/>
      <c r="E16" s="5" t="n">
        <f aca="false">IF(B16="","",B16+C16+D16)</f>
        <v>10000</v>
      </c>
      <c r="F16" s="5" t="n">
        <f aca="false">IF(E16="","",MAX(F15,E16))</f>
        <v>10000</v>
      </c>
      <c r="G16" s="5" t="n">
        <f aca="false">IF(E16="","",F16-E16)</f>
        <v>0</v>
      </c>
      <c r="H16" s="12" t="n">
        <f aca="false">IF(F16&gt;0,G16/F16,0)</f>
        <v>0</v>
      </c>
    </row>
    <row r="17" customFormat="false" ht="15" hidden="false" customHeight="false" outlineLevel="0" collapsed="false">
      <c r="A17" s="8"/>
      <c r="B17" s="5" t="n">
        <f aca="false">E16</f>
        <v>10000</v>
      </c>
      <c r="C17" s="9"/>
      <c r="D17" s="9"/>
      <c r="E17" s="5" t="n">
        <f aca="false">IF(B17="","",B17+C17+D17)</f>
        <v>10000</v>
      </c>
      <c r="F17" s="5" t="n">
        <f aca="false">IF(E17="","",MAX(F16,E17))</f>
        <v>10000</v>
      </c>
      <c r="G17" s="5" t="n">
        <f aca="false">IF(E17="","",F17-E17)</f>
        <v>0</v>
      </c>
      <c r="H17" s="12" t="n">
        <f aca="false">IF(F17&gt;0,G17/F17,0)</f>
        <v>0</v>
      </c>
    </row>
    <row r="18" customFormat="false" ht="15" hidden="false" customHeight="false" outlineLevel="0" collapsed="false">
      <c r="A18" s="8"/>
      <c r="B18" s="5" t="n">
        <f aca="false">E17</f>
        <v>10000</v>
      </c>
      <c r="C18" s="9"/>
      <c r="D18" s="9"/>
      <c r="E18" s="5" t="n">
        <f aca="false">IF(B18="","",B18+C18+D18)</f>
        <v>10000</v>
      </c>
      <c r="F18" s="5" t="n">
        <f aca="false">IF(E18="","",MAX(F17,E18))</f>
        <v>10000</v>
      </c>
      <c r="G18" s="5" t="n">
        <f aca="false">IF(E18="","",F18-E18)</f>
        <v>0</v>
      </c>
      <c r="H18" s="12" t="n">
        <f aca="false">IF(F18&gt;0,G18/F18,0)</f>
        <v>0</v>
      </c>
    </row>
    <row r="19" customFormat="false" ht="15" hidden="false" customHeight="false" outlineLevel="0" collapsed="false">
      <c r="A19" s="8"/>
      <c r="B19" s="5" t="n">
        <f aca="false">E18</f>
        <v>10000</v>
      </c>
      <c r="C19" s="9"/>
      <c r="D19" s="9"/>
      <c r="E19" s="5" t="n">
        <f aca="false">IF(B19="","",B19+C19+D19)</f>
        <v>10000</v>
      </c>
      <c r="F19" s="5" t="n">
        <f aca="false">IF(E19="","",MAX(F18,E19))</f>
        <v>10000</v>
      </c>
      <c r="G19" s="5" t="n">
        <f aca="false">IF(E19="","",F19-E19)</f>
        <v>0</v>
      </c>
      <c r="H19" s="12" t="n">
        <f aca="false">IF(F19&gt;0,G19/F19,0)</f>
        <v>0</v>
      </c>
    </row>
    <row r="20" customFormat="false" ht="15" hidden="false" customHeight="false" outlineLevel="0" collapsed="false">
      <c r="A20" s="8"/>
      <c r="B20" s="5" t="n">
        <f aca="false">E19</f>
        <v>10000</v>
      </c>
      <c r="C20" s="9"/>
      <c r="D20" s="9"/>
      <c r="E20" s="5" t="n">
        <f aca="false">IF(B20="","",B20+C20+D20)</f>
        <v>10000</v>
      </c>
      <c r="F20" s="5" t="n">
        <f aca="false">IF(E20="","",MAX(F19,E20))</f>
        <v>10000</v>
      </c>
      <c r="G20" s="5" t="n">
        <f aca="false">IF(E20="","",F20-E20)</f>
        <v>0</v>
      </c>
      <c r="H20" s="12" t="n">
        <f aca="false">IF(F20&gt;0,G20/F20,0)</f>
        <v>0</v>
      </c>
    </row>
    <row r="21" customFormat="false" ht="15" hidden="false" customHeight="false" outlineLevel="0" collapsed="false">
      <c r="A21" s="8"/>
      <c r="B21" s="5" t="n">
        <f aca="false">E20</f>
        <v>10000</v>
      </c>
      <c r="C21" s="9"/>
      <c r="D21" s="9"/>
      <c r="E21" s="5" t="n">
        <f aca="false">IF(B21="","",B21+C21+D21)</f>
        <v>10000</v>
      </c>
      <c r="F21" s="5" t="n">
        <f aca="false">IF(E21="","",MAX(F20,E21))</f>
        <v>10000</v>
      </c>
      <c r="G21" s="5" t="n">
        <f aca="false">IF(E21="","",F21-E21)</f>
        <v>0</v>
      </c>
      <c r="H21" s="12" t="n">
        <f aca="false">IF(F21&gt;0,G21/F21,0)</f>
        <v>0</v>
      </c>
    </row>
    <row r="22" customFormat="false" ht="15" hidden="false" customHeight="false" outlineLevel="0" collapsed="false">
      <c r="A22" s="8"/>
      <c r="B22" s="5" t="n">
        <f aca="false">E21</f>
        <v>10000</v>
      </c>
      <c r="C22" s="9"/>
      <c r="D22" s="9"/>
      <c r="E22" s="5" t="n">
        <f aca="false">IF(B22="","",B22+C22+D22)</f>
        <v>10000</v>
      </c>
      <c r="F22" s="5" t="n">
        <f aca="false">IF(E22="","",MAX(F21,E22))</f>
        <v>10000</v>
      </c>
      <c r="G22" s="5" t="n">
        <f aca="false">IF(E22="","",F22-E22)</f>
        <v>0</v>
      </c>
      <c r="H22" s="12" t="n">
        <f aca="false">IF(F22&gt;0,G22/F22,0)</f>
        <v>0</v>
      </c>
    </row>
    <row r="23" customFormat="false" ht="15" hidden="false" customHeight="false" outlineLevel="0" collapsed="false">
      <c r="A23" s="8"/>
      <c r="B23" s="5" t="n">
        <f aca="false">E22</f>
        <v>10000</v>
      </c>
      <c r="C23" s="9"/>
      <c r="D23" s="9"/>
      <c r="E23" s="5" t="n">
        <f aca="false">IF(B23="","",B23+C23+D23)</f>
        <v>10000</v>
      </c>
      <c r="F23" s="5" t="n">
        <f aca="false">IF(E23="","",MAX(F22,E23))</f>
        <v>10000</v>
      </c>
      <c r="G23" s="5" t="n">
        <f aca="false">IF(E23="","",F23-E23)</f>
        <v>0</v>
      </c>
      <c r="H23" s="12" t="n">
        <f aca="false">IF(F23&gt;0,G23/F23,0)</f>
        <v>0</v>
      </c>
    </row>
    <row r="24" customFormat="false" ht="15" hidden="false" customHeight="false" outlineLevel="0" collapsed="false">
      <c r="A24" s="8"/>
      <c r="B24" s="5" t="n">
        <f aca="false">E23</f>
        <v>10000</v>
      </c>
      <c r="C24" s="9"/>
      <c r="D24" s="9"/>
      <c r="E24" s="5" t="n">
        <f aca="false">IF(B24="","",B24+C24+D24)</f>
        <v>10000</v>
      </c>
      <c r="F24" s="5" t="n">
        <f aca="false">IF(E24="","",MAX(F23,E24))</f>
        <v>10000</v>
      </c>
      <c r="G24" s="5" t="n">
        <f aca="false">IF(E24="","",F24-E24)</f>
        <v>0</v>
      </c>
      <c r="H24" s="12" t="n">
        <f aca="false">IF(F24&gt;0,G24/F24,0)</f>
        <v>0</v>
      </c>
    </row>
    <row r="25" customFormat="false" ht="15" hidden="false" customHeight="false" outlineLevel="0" collapsed="false">
      <c r="A25" s="8"/>
      <c r="B25" s="5" t="n">
        <f aca="false">E24</f>
        <v>10000</v>
      </c>
      <c r="C25" s="9"/>
      <c r="D25" s="9"/>
      <c r="E25" s="5" t="n">
        <f aca="false">IF(B25="","",B25+C25+D25)</f>
        <v>10000</v>
      </c>
      <c r="F25" s="5" t="n">
        <f aca="false">IF(E25="","",MAX(F24,E25))</f>
        <v>10000</v>
      </c>
      <c r="G25" s="5" t="n">
        <f aca="false">IF(E25="","",F25-E25)</f>
        <v>0</v>
      </c>
      <c r="H25" s="12" t="n">
        <f aca="false">IF(F25&gt;0,G25/F25,0)</f>
        <v>0</v>
      </c>
    </row>
    <row r="26" customFormat="false" ht="15" hidden="false" customHeight="false" outlineLevel="0" collapsed="false">
      <c r="A26" s="8"/>
      <c r="B26" s="5" t="n">
        <f aca="false">E25</f>
        <v>10000</v>
      </c>
      <c r="C26" s="9"/>
      <c r="D26" s="9"/>
      <c r="E26" s="5" t="n">
        <f aca="false">IF(B26="","",B26+C26+D26)</f>
        <v>10000</v>
      </c>
      <c r="F26" s="5" t="n">
        <f aca="false">IF(E26="","",MAX(F25,E26))</f>
        <v>10000</v>
      </c>
      <c r="G26" s="5" t="n">
        <f aca="false">IF(E26="","",F26-E26)</f>
        <v>0</v>
      </c>
      <c r="H26" s="12" t="n">
        <f aca="false">IF(F26&gt;0,G26/F26,0)</f>
        <v>0</v>
      </c>
    </row>
    <row r="27" customFormat="false" ht="15" hidden="false" customHeight="false" outlineLevel="0" collapsed="false">
      <c r="A27" s="8"/>
      <c r="B27" s="5" t="n">
        <f aca="false">E26</f>
        <v>10000</v>
      </c>
      <c r="C27" s="9"/>
      <c r="D27" s="9"/>
      <c r="E27" s="5" t="n">
        <f aca="false">IF(B27="","",B27+C27+D27)</f>
        <v>10000</v>
      </c>
      <c r="F27" s="5" t="n">
        <f aca="false">IF(E27="","",MAX(F26,E27))</f>
        <v>10000</v>
      </c>
      <c r="G27" s="5" t="n">
        <f aca="false">IF(E27="","",F27-E27)</f>
        <v>0</v>
      </c>
      <c r="H27" s="12" t="n">
        <f aca="false">IF(F27&gt;0,G27/F27,0)</f>
        <v>0</v>
      </c>
    </row>
    <row r="28" customFormat="false" ht="15" hidden="false" customHeight="false" outlineLevel="0" collapsed="false">
      <c r="A28" s="8"/>
      <c r="B28" s="5" t="n">
        <f aca="false">E27</f>
        <v>10000</v>
      </c>
      <c r="C28" s="9"/>
      <c r="D28" s="9"/>
      <c r="E28" s="5" t="n">
        <f aca="false">IF(B28="","",B28+C28+D28)</f>
        <v>10000</v>
      </c>
      <c r="F28" s="5" t="n">
        <f aca="false">IF(E28="","",MAX(F27,E28))</f>
        <v>10000</v>
      </c>
      <c r="G28" s="5" t="n">
        <f aca="false">IF(E28="","",F28-E28)</f>
        <v>0</v>
      </c>
      <c r="H28" s="12" t="n">
        <f aca="false">IF(F28&gt;0,G28/F28,0)</f>
        <v>0</v>
      </c>
    </row>
    <row r="29" customFormat="false" ht="15" hidden="false" customHeight="false" outlineLevel="0" collapsed="false">
      <c r="A29" s="8"/>
      <c r="B29" s="5" t="n">
        <f aca="false">E28</f>
        <v>10000</v>
      </c>
      <c r="C29" s="9"/>
      <c r="D29" s="9"/>
      <c r="E29" s="5" t="n">
        <f aca="false">IF(B29="","",B29+C29+D29)</f>
        <v>10000</v>
      </c>
      <c r="F29" s="5" t="n">
        <f aca="false">IF(E29="","",MAX(F28,E29))</f>
        <v>10000</v>
      </c>
      <c r="G29" s="5" t="n">
        <f aca="false">IF(E29="","",F29-E29)</f>
        <v>0</v>
      </c>
      <c r="H29" s="12" t="n">
        <f aca="false">IF(F29&gt;0,G29/F29,0)</f>
        <v>0</v>
      </c>
    </row>
    <row r="30" customFormat="false" ht="15" hidden="false" customHeight="false" outlineLevel="0" collapsed="false">
      <c r="A30" s="8"/>
      <c r="B30" s="5" t="n">
        <f aca="false">E29</f>
        <v>10000</v>
      </c>
      <c r="C30" s="9"/>
      <c r="D30" s="9"/>
      <c r="E30" s="5" t="n">
        <f aca="false">IF(B30="","",B30+C30+D30)</f>
        <v>10000</v>
      </c>
      <c r="F30" s="5" t="n">
        <f aca="false">IF(E30="","",MAX(F29,E30))</f>
        <v>10000</v>
      </c>
      <c r="G30" s="5" t="n">
        <f aca="false">IF(E30="","",F30-E30)</f>
        <v>0</v>
      </c>
      <c r="H30" s="12" t="n">
        <f aca="false">IF(F30&gt;0,G30/F30,0)</f>
        <v>0</v>
      </c>
    </row>
    <row r="31" customFormat="false" ht="15" hidden="false" customHeight="false" outlineLevel="0" collapsed="false">
      <c r="A31" s="8"/>
      <c r="B31" s="5" t="n">
        <f aca="false">E30</f>
        <v>10000</v>
      </c>
      <c r="C31" s="9"/>
      <c r="D31" s="9"/>
      <c r="E31" s="5" t="n">
        <f aca="false">IF(B31="","",B31+C31+D31)</f>
        <v>10000</v>
      </c>
      <c r="F31" s="5" t="n">
        <f aca="false">IF(E31="","",MAX(F30,E31))</f>
        <v>10000</v>
      </c>
      <c r="G31" s="5" t="n">
        <f aca="false">IF(E31="","",F31-E31)</f>
        <v>0</v>
      </c>
      <c r="H31" s="12" t="n">
        <f aca="false">IF(F31&gt;0,G31/F31,0)</f>
        <v>0</v>
      </c>
    </row>
    <row r="32" customFormat="false" ht="15" hidden="false" customHeight="false" outlineLevel="0" collapsed="false">
      <c r="A32" s="8"/>
      <c r="B32" s="5" t="n">
        <f aca="false">E31</f>
        <v>10000</v>
      </c>
      <c r="C32" s="9"/>
      <c r="D32" s="9"/>
      <c r="E32" s="5" t="n">
        <f aca="false">IF(B32="","",B32+C32+D32)</f>
        <v>10000</v>
      </c>
      <c r="F32" s="5" t="n">
        <f aca="false">IF(E32="","",MAX(F31,E32))</f>
        <v>10000</v>
      </c>
      <c r="G32" s="5" t="n">
        <f aca="false">IF(E32="","",F32-E32)</f>
        <v>0</v>
      </c>
      <c r="H32" s="12" t="n">
        <f aca="false">IF(F32&gt;0,G32/F32,0)</f>
        <v>0</v>
      </c>
    </row>
    <row r="33" customFormat="false" ht="15" hidden="false" customHeight="false" outlineLevel="0" collapsed="false">
      <c r="A33" s="8"/>
      <c r="B33" s="5" t="n">
        <f aca="false">E32</f>
        <v>10000</v>
      </c>
      <c r="C33" s="9"/>
      <c r="D33" s="9"/>
      <c r="E33" s="5" t="n">
        <f aca="false">IF(B33="","",B33+C33+D33)</f>
        <v>10000</v>
      </c>
      <c r="F33" s="5" t="n">
        <f aca="false">IF(E33="","",MAX(F32,E33))</f>
        <v>10000</v>
      </c>
      <c r="G33" s="5" t="n">
        <f aca="false">IF(E33="","",F33-E33)</f>
        <v>0</v>
      </c>
      <c r="H33" s="12" t="n">
        <f aca="false">IF(F33&gt;0,G33/F33,0)</f>
        <v>0</v>
      </c>
    </row>
    <row r="34" customFormat="false" ht="15" hidden="false" customHeight="false" outlineLevel="0" collapsed="false">
      <c r="A34" s="8"/>
      <c r="B34" s="5" t="n">
        <f aca="false">E33</f>
        <v>10000</v>
      </c>
      <c r="C34" s="9"/>
      <c r="D34" s="9"/>
      <c r="E34" s="5" t="n">
        <f aca="false">IF(B34="","",B34+C34+D34)</f>
        <v>10000</v>
      </c>
      <c r="F34" s="5" t="n">
        <f aca="false">IF(E34="","",MAX(F33,E34))</f>
        <v>10000</v>
      </c>
      <c r="G34" s="5" t="n">
        <f aca="false">IF(E34="","",F34-E34)</f>
        <v>0</v>
      </c>
      <c r="H34" s="12" t="n">
        <f aca="false">IF(F34&gt;0,G34/F34,0)</f>
        <v>0</v>
      </c>
    </row>
    <row r="35" customFormat="false" ht="15" hidden="false" customHeight="false" outlineLevel="0" collapsed="false">
      <c r="A35" s="8"/>
      <c r="B35" s="5" t="n">
        <f aca="false">E34</f>
        <v>10000</v>
      </c>
      <c r="C35" s="9"/>
      <c r="D35" s="9"/>
      <c r="E35" s="5" t="n">
        <f aca="false">IF(B35="","",B35+C35+D35)</f>
        <v>10000</v>
      </c>
      <c r="F35" s="5" t="n">
        <f aca="false">IF(E35="","",MAX(F34,E35))</f>
        <v>10000</v>
      </c>
      <c r="G35" s="5" t="n">
        <f aca="false">IF(E35="","",F35-E35)</f>
        <v>0</v>
      </c>
      <c r="H35" s="12" t="n">
        <f aca="false">IF(F35&gt;0,G35/F35,0)</f>
        <v>0</v>
      </c>
    </row>
    <row r="36" customFormat="false" ht="15" hidden="false" customHeight="false" outlineLevel="0" collapsed="false">
      <c r="A36" s="8"/>
      <c r="B36" s="5" t="n">
        <f aca="false">E35</f>
        <v>10000</v>
      </c>
      <c r="C36" s="9"/>
      <c r="D36" s="9"/>
      <c r="E36" s="5" t="n">
        <f aca="false">IF(B36="","",B36+C36+D36)</f>
        <v>10000</v>
      </c>
      <c r="F36" s="5" t="n">
        <f aca="false">IF(E36="","",MAX(F35,E36))</f>
        <v>10000</v>
      </c>
      <c r="G36" s="5" t="n">
        <f aca="false">IF(E36="","",F36-E36)</f>
        <v>0</v>
      </c>
      <c r="H36" s="12" t="n">
        <f aca="false">IF(F36&gt;0,G36/F36,0)</f>
        <v>0</v>
      </c>
    </row>
    <row r="37" customFormat="false" ht="15" hidden="false" customHeight="false" outlineLevel="0" collapsed="false">
      <c r="A37" s="8"/>
      <c r="B37" s="5" t="n">
        <f aca="false">E36</f>
        <v>10000</v>
      </c>
      <c r="C37" s="9"/>
      <c r="D37" s="9"/>
      <c r="E37" s="5" t="n">
        <f aca="false">IF(B37="","",B37+C37+D37)</f>
        <v>10000</v>
      </c>
      <c r="F37" s="5" t="n">
        <f aca="false">IF(E37="","",MAX(F36,E37))</f>
        <v>10000</v>
      </c>
      <c r="G37" s="5" t="n">
        <f aca="false">IF(E37="","",F37-E37)</f>
        <v>0</v>
      </c>
      <c r="H37" s="12" t="n">
        <f aca="false">IF(F37&gt;0,G37/F37,0)</f>
        <v>0</v>
      </c>
    </row>
    <row r="38" customFormat="false" ht="15" hidden="false" customHeight="false" outlineLevel="0" collapsed="false">
      <c r="A38" s="8"/>
      <c r="B38" s="5" t="n">
        <f aca="false">E37</f>
        <v>10000</v>
      </c>
      <c r="C38" s="9"/>
      <c r="D38" s="9"/>
      <c r="E38" s="5" t="n">
        <f aca="false">IF(B38="","",B38+C38+D38)</f>
        <v>10000</v>
      </c>
      <c r="F38" s="5" t="n">
        <f aca="false">IF(E38="","",MAX(F37,E38))</f>
        <v>10000</v>
      </c>
      <c r="G38" s="5" t="n">
        <f aca="false">IF(E38="","",F38-E38)</f>
        <v>0</v>
      </c>
      <c r="H38" s="12" t="n">
        <f aca="false">IF(F38&gt;0,G38/F38,0)</f>
        <v>0</v>
      </c>
    </row>
    <row r="39" customFormat="false" ht="15" hidden="false" customHeight="false" outlineLevel="0" collapsed="false">
      <c r="A39" s="8"/>
      <c r="B39" s="5" t="n">
        <f aca="false">E38</f>
        <v>10000</v>
      </c>
      <c r="C39" s="9"/>
      <c r="D39" s="9"/>
      <c r="E39" s="5" t="n">
        <f aca="false">IF(B39="","",B39+C39+D39)</f>
        <v>10000</v>
      </c>
      <c r="F39" s="5" t="n">
        <f aca="false">IF(E39="","",MAX(F38,E39))</f>
        <v>10000</v>
      </c>
      <c r="G39" s="5" t="n">
        <f aca="false">IF(E39="","",F39-E39)</f>
        <v>0</v>
      </c>
      <c r="H39" s="12" t="n">
        <f aca="false">IF(F39&gt;0,G39/F39,0)</f>
        <v>0</v>
      </c>
    </row>
    <row r="40" customFormat="false" ht="15" hidden="false" customHeight="false" outlineLevel="0" collapsed="false">
      <c r="A40" s="8"/>
      <c r="B40" s="5" t="n">
        <f aca="false">E39</f>
        <v>10000</v>
      </c>
      <c r="C40" s="9"/>
      <c r="D40" s="9"/>
      <c r="E40" s="5" t="n">
        <f aca="false">IF(B40="","",B40+C40+D40)</f>
        <v>10000</v>
      </c>
      <c r="F40" s="5" t="n">
        <f aca="false">IF(E40="","",MAX(F39,E40))</f>
        <v>10000</v>
      </c>
      <c r="G40" s="5" t="n">
        <f aca="false">IF(E40="","",F40-E40)</f>
        <v>0</v>
      </c>
      <c r="H40" s="12" t="n">
        <f aca="false">IF(F40&gt;0,G40/F40,0)</f>
        <v>0</v>
      </c>
    </row>
    <row r="41" customFormat="false" ht="15" hidden="false" customHeight="false" outlineLevel="0" collapsed="false">
      <c r="A41" s="8"/>
      <c r="B41" s="5" t="n">
        <f aca="false">E40</f>
        <v>10000</v>
      </c>
      <c r="C41" s="9"/>
      <c r="D41" s="9"/>
      <c r="E41" s="5" t="n">
        <f aca="false">IF(B41="","",B41+C41+D41)</f>
        <v>10000</v>
      </c>
      <c r="F41" s="5" t="n">
        <f aca="false">IF(E41="","",MAX(F40,E41))</f>
        <v>10000</v>
      </c>
      <c r="G41" s="5" t="n">
        <f aca="false">IF(E41="","",F41-E41)</f>
        <v>0</v>
      </c>
      <c r="H41" s="12" t="n">
        <f aca="false">IF(F41&gt;0,G41/F41,0)</f>
        <v>0</v>
      </c>
    </row>
    <row r="42" customFormat="false" ht="15" hidden="false" customHeight="false" outlineLevel="0" collapsed="false">
      <c r="A42" s="8"/>
      <c r="B42" s="5" t="n">
        <f aca="false">E41</f>
        <v>10000</v>
      </c>
      <c r="C42" s="9"/>
      <c r="D42" s="9"/>
      <c r="E42" s="5" t="n">
        <f aca="false">IF(B42="","",B42+C42+D42)</f>
        <v>10000</v>
      </c>
      <c r="F42" s="5" t="n">
        <f aca="false">IF(E42="","",MAX(F41,E42))</f>
        <v>10000</v>
      </c>
      <c r="G42" s="5" t="n">
        <f aca="false">IF(E42="","",F42-E42)</f>
        <v>0</v>
      </c>
      <c r="H42" s="12" t="n">
        <f aca="false">IF(F42&gt;0,G42/F42,0)</f>
        <v>0</v>
      </c>
    </row>
    <row r="43" customFormat="false" ht="15" hidden="false" customHeight="false" outlineLevel="0" collapsed="false">
      <c r="A43" s="8"/>
      <c r="B43" s="5" t="n">
        <f aca="false">E42</f>
        <v>10000</v>
      </c>
      <c r="C43" s="9"/>
      <c r="D43" s="9"/>
      <c r="E43" s="5" t="n">
        <f aca="false">IF(B43="","",B43+C43+D43)</f>
        <v>10000</v>
      </c>
      <c r="F43" s="5" t="n">
        <f aca="false">IF(E43="","",MAX(F42,E43))</f>
        <v>10000</v>
      </c>
      <c r="G43" s="5" t="n">
        <f aca="false">IF(E43="","",F43-E43)</f>
        <v>0</v>
      </c>
      <c r="H43" s="12" t="n">
        <f aca="false">IF(F43&gt;0,G43/F43,0)</f>
        <v>0</v>
      </c>
    </row>
    <row r="44" customFormat="false" ht="15" hidden="false" customHeight="false" outlineLevel="0" collapsed="false">
      <c r="A44" s="8"/>
      <c r="B44" s="5" t="n">
        <f aca="false">E43</f>
        <v>10000</v>
      </c>
      <c r="C44" s="9"/>
      <c r="D44" s="9"/>
      <c r="E44" s="5" t="n">
        <f aca="false">IF(B44="","",B44+C44+D44)</f>
        <v>10000</v>
      </c>
      <c r="F44" s="5" t="n">
        <f aca="false">IF(E44="","",MAX(F43,E44))</f>
        <v>10000</v>
      </c>
      <c r="G44" s="5" t="n">
        <f aca="false">IF(E44="","",F44-E44)</f>
        <v>0</v>
      </c>
      <c r="H44" s="12" t="n">
        <f aca="false">IF(F44&gt;0,G44/F44,0)</f>
        <v>0</v>
      </c>
    </row>
    <row r="45" customFormat="false" ht="15" hidden="false" customHeight="false" outlineLevel="0" collapsed="false">
      <c r="A45" s="8"/>
      <c r="B45" s="5" t="n">
        <f aca="false">E44</f>
        <v>10000</v>
      </c>
      <c r="C45" s="9"/>
      <c r="D45" s="9"/>
      <c r="E45" s="5" t="n">
        <f aca="false">IF(B45="","",B45+C45+D45)</f>
        <v>10000</v>
      </c>
      <c r="F45" s="5" t="n">
        <f aca="false">IF(E45="","",MAX(F44,E45))</f>
        <v>10000</v>
      </c>
      <c r="G45" s="5" t="n">
        <f aca="false">IF(E45="","",F45-E45)</f>
        <v>0</v>
      </c>
      <c r="H45" s="12" t="n">
        <f aca="false">IF(F45&gt;0,G45/F45,0)</f>
        <v>0</v>
      </c>
    </row>
    <row r="46" customFormat="false" ht="15" hidden="false" customHeight="false" outlineLevel="0" collapsed="false">
      <c r="A46" s="8"/>
      <c r="B46" s="5" t="n">
        <f aca="false">E45</f>
        <v>10000</v>
      </c>
      <c r="C46" s="9"/>
      <c r="D46" s="9"/>
      <c r="E46" s="5" t="n">
        <f aca="false">IF(B46="","",B46+C46+D46)</f>
        <v>10000</v>
      </c>
      <c r="F46" s="5" t="n">
        <f aca="false">IF(E46="","",MAX(F45,E46))</f>
        <v>10000</v>
      </c>
      <c r="G46" s="5" t="n">
        <f aca="false">IF(E46="","",F46-E46)</f>
        <v>0</v>
      </c>
      <c r="H46" s="12" t="n">
        <f aca="false">IF(F46&gt;0,G46/F46,0)</f>
        <v>0</v>
      </c>
    </row>
    <row r="47" customFormat="false" ht="15" hidden="false" customHeight="false" outlineLevel="0" collapsed="false">
      <c r="A47" s="8"/>
      <c r="B47" s="5" t="n">
        <f aca="false">E46</f>
        <v>10000</v>
      </c>
      <c r="C47" s="9"/>
      <c r="D47" s="9"/>
      <c r="E47" s="5" t="n">
        <f aca="false">IF(B47="","",B47+C47+D47)</f>
        <v>10000</v>
      </c>
      <c r="F47" s="5" t="n">
        <f aca="false">IF(E47="","",MAX(F46,E47))</f>
        <v>10000</v>
      </c>
      <c r="G47" s="5" t="n">
        <f aca="false">IF(E47="","",F47-E47)</f>
        <v>0</v>
      </c>
      <c r="H47" s="12" t="n">
        <f aca="false">IF(F47&gt;0,G47/F47,0)</f>
        <v>0</v>
      </c>
    </row>
    <row r="48" customFormat="false" ht="15" hidden="false" customHeight="false" outlineLevel="0" collapsed="false">
      <c r="A48" s="8"/>
      <c r="B48" s="5" t="n">
        <f aca="false">E47</f>
        <v>10000</v>
      </c>
      <c r="C48" s="9"/>
      <c r="D48" s="9"/>
      <c r="E48" s="5" t="n">
        <f aca="false">IF(B48="","",B48+C48+D48)</f>
        <v>10000</v>
      </c>
      <c r="F48" s="5" t="n">
        <f aca="false">IF(E48="","",MAX(F47,E48))</f>
        <v>10000</v>
      </c>
      <c r="G48" s="5" t="n">
        <f aca="false">IF(E48="","",F48-E48)</f>
        <v>0</v>
      </c>
      <c r="H48" s="12" t="n">
        <f aca="false">IF(F48&gt;0,G48/F48,0)</f>
        <v>0</v>
      </c>
    </row>
    <row r="49" customFormat="false" ht="15" hidden="false" customHeight="false" outlineLevel="0" collapsed="false">
      <c r="A49" s="8"/>
      <c r="B49" s="5" t="n">
        <f aca="false">E48</f>
        <v>10000</v>
      </c>
      <c r="C49" s="9"/>
      <c r="D49" s="9"/>
      <c r="E49" s="5" t="n">
        <f aca="false">IF(B49="","",B49+C49+D49)</f>
        <v>10000</v>
      </c>
      <c r="F49" s="5" t="n">
        <f aca="false">IF(E49="","",MAX(F48,E49))</f>
        <v>10000</v>
      </c>
      <c r="G49" s="5" t="n">
        <f aca="false">IF(E49="","",F49-E49)</f>
        <v>0</v>
      </c>
      <c r="H49" s="12" t="n">
        <f aca="false">IF(F49&gt;0,G49/F49,0)</f>
        <v>0</v>
      </c>
    </row>
    <row r="50" customFormat="false" ht="15" hidden="false" customHeight="false" outlineLevel="0" collapsed="false">
      <c r="A50" s="8"/>
      <c r="B50" s="5" t="n">
        <f aca="false">E49</f>
        <v>10000</v>
      </c>
      <c r="C50" s="9"/>
      <c r="D50" s="9"/>
      <c r="E50" s="5" t="n">
        <f aca="false">IF(B50="","",B50+C50+D50)</f>
        <v>10000</v>
      </c>
      <c r="F50" s="5" t="n">
        <f aca="false">IF(E50="","",MAX(F49,E50))</f>
        <v>10000</v>
      </c>
      <c r="G50" s="5" t="n">
        <f aca="false">IF(E50="","",F50-E50)</f>
        <v>0</v>
      </c>
      <c r="H50" s="12" t="n">
        <f aca="false">IF(F50&gt;0,G50/F50,0)</f>
        <v>0</v>
      </c>
    </row>
    <row r="51" customFormat="false" ht="15" hidden="false" customHeight="false" outlineLevel="0" collapsed="false">
      <c r="A51" s="8"/>
      <c r="B51" s="5" t="n">
        <f aca="false">E50</f>
        <v>10000</v>
      </c>
      <c r="C51" s="9"/>
      <c r="D51" s="9"/>
      <c r="E51" s="5" t="n">
        <f aca="false">IF(B51="","",B51+C51+D51)</f>
        <v>10000</v>
      </c>
      <c r="F51" s="5" t="n">
        <f aca="false">IF(E51="","",MAX(F50,E51))</f>
        <v>10000</v>
      </c>
      <c r="G51" s="5" t="n">
        <f aca="false">IF(E51="","",F51-E51)</f>
        <v>0</v>
      </c>
      <c r="H51" s="12" t="n">
        <f aca="false">IF(F51&gt;0,G51/F51,0)</f>
        <v>0</v>
      </c>
    </row>
    <row r="52" customFormat="false" ht="15" hidden="false" customHeight="false" outlineLevel="0" collapsed="false">
      <c r="A52" s="8"/>
      <c r="B52" s="5" t="n">
        <f aca="false">E51</f>
        <v>10000</v>
      </c>
      <c r="C52" s="9"/>
      <c r="D52" s="9"/>
      <c r="E52" s="5" t="n">
        <f aca="false">IF(B52="","",B52+C52+D52)</f>
        <v>10000</v>
      </c>
      <c r="F52" s="5" t="n">
        <f aca="false">IF(E52="","",MAX(F51,E52))</f>
        <v>10000</v>
      </c>
      <c r="G52" s="5" t="n">
        <f aca="false">IF(E52="","",F52-E52)</f>
        <v>0</v>
      </c>
      <c r="H52" s="12" t="n">
        <f aca="false">IF(F52&gt;0,G52/F52,0)</f>
        <v>0</v>
      </c>
    </row>
    <row r="53" customFormat="false" ht="15" hidden="false" customHeight="false" outlineLevel="0" collapsed="false">
      <c r="A53" s="8"/>
      <c r="B53" s="5" t="n">
        <f aca="false">E52</f>
        <v>10000</v>
      </c>
      <c r="C53" s="9"/>
      <c r="D53" s="9"/>
      <c r="E53" s="5" t="n">
        <f aca="false">IF(B53="","",B53+C53+D53)</f>
        <v>10000</v>
      </c>
      <c r="F53" s="5" t="n">
        <f aca="false">IF(E53="","",MAX(F52,E53))</f>
        <v>10000</v>
      </c>
      <c r="G53" s="5" t="n">
        <f aca="false">IF(E53="","",F53-E53)</f>
        <v>0</v>
      </c>
      <c r="H53" s="12" t="n">
        <f aca="false">IF(F53&gt;0,G53/F53,0)</f>
        <v>0</v>
      </c>
    </row>
    <row r="54" customFormat="false" ht="15" hidden="false" customHeight="false" outlineLevel="0" collapsed="false">
      <c r="A54" s="8"/>
      <c r="B54" s="5" t="n">
        <f aca="false">E53</f>
        <v>10000</v>
      </c>
      <c r="C54" s="9"/>
      <c r="D54" s="9"/>
      <c r="E54" s="5" t="n">
        <f aca="false">IF(B54="","",B54+C54+D54)</f>
        <v>10000</v>
      </c>
      <c r="F54" s="5" t="n">
        <f aca="false">IF(E54="","",MAX(F53,E54))</f>
        <v>10000</v>
      </c>
      <c r="G54" s="5" t="n">
        <f aca="false">IF(E54="","",F54-E54)</f>
        <v>0</v>
      </c>
      <c r="H54" s="12" t="n">
        <f aca="false">IF(F54&gt;0,G54/F54,0)</f>
        <v>0</v>
      </c>
    </row>
    <row r="55" customFormat="false" ht="15" hidden="false" customHeight="false" outlineLevel="0" collapsed="false">
      <c r="A55" s="8"/>
      <c r="B55" s="5" t="n">
        <f aca="false">E54</f>
        <v>10000</v>
      </c>
      <c r="C55" s="9"/>
      <c r="D55" s="9"/>
      <c r="E55" s="5" t="n">
        <f aca="false">IF(B55="","",B55+C55+D55)</f>
        <v>10000</v>
      </c>
      <c r="F55" s="5" t="n">
        <f aca="false">IF(E55="","",MAX(F54,E55))</f>
        <v>10000</v>
      </c>
      <c r="G55" s="5" t="n">
        <f aca="false">IF(E55="","",F55-E55)</f>
        <v>0</v>
      </c>
      <c r="H55" s="12" t="n">
        <f aca="false">IF(F55&gt;0,G55/F55,0)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50"/>
  </cols>
  <sheetData>
    <row r="1" customFormat="false" ht="19.7" hidden="false" customHeight="false" outlineLevel="0" collapsed="false">
      <c r="A1" s="10" t="s">
        <v>50</v>
      </c>
    </row>
    <row r="2" customFormat="false" ht="15" hidden="false" customHeight="false" outlineLevel="0" collapsed="false">
      <c r="A2" s="0" t="s">
        <v>51</v>
      </c>
    </row>
    <row r="4" customFormat="false" ht="15" hidden="false" customHeight="false" outlineLevel="0" collapsed="false">
      <c r="A4" s="14" t="s">
        <v>52</v>
      </c>
      <c r="B4" s="14" t="s">
        <v>53</v>
      </c>
      <c r="C4" s="14" t="s">
        <v>54</v>
      </c>
      <c r="D4" s="14" t="s">
        <v>55</v>
      </c>
      <c r="E4" s="14" t="s">
        <v>56</v>
      </c>
      <c r="F4" s="14" t="s">
        <v>57</v>
      </c>
      <c r="G4" s="14" t="s">
        <v>26</v>
      </c>
      <c r="H4" s="14" t="s">
        <v>13</v>
      </c>
      <c r="I4" s="14" t="s">
        <v>58</v>
      </c>
      <c r="J4" s="14" t="s">
        <v>59</v>
      </c>
    </row>
    <row r="5" customFormat="false" ht="15" hidden="false" customHeight="false" outlineLevel="0" collapsed="false">
      <c r="A5" s="0" t="n">
        <v>1</v>
      </c>
      <c r="B5" s="0" t="s">
        <v>60</v>
      </c>
      <c r="C5" s="0" t="s">
        <v>61</v>
      </c>
      <c r="I5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0" t="s">
        <v>63</v>
      </c>
    </row>
    <row r="2" customFormat="false" ht="15" hidden="false" customHeight="false" outlineLevel="0" collapsed="false">
      <c r="A2" s="0" t="s">
        <v>64</v>
      </c>
    </row>
    <row r="4" customFormat="false" ht="15" hidden="false" customHeight="false" outlineLevel="0" collapsed="false">
      <c r="A4" s="14" t="s">
        <v>3</v>
      </c>
      <c r="B4" s="14" t="s">
        <v>65</v>
      </c>
      <c r="C4" s="14" t="s">
        <v>19</v>
      </c>
      <c r="D4" s="14" t="s">
        <v>66</v>
      </c>
      <c r="E4" s="14" t="s">
        <v>67</v>
      </c>
      <c r="G4" s="15" t="s">
        <v>68</v>
      </c>
    </row>
    <row r="5" customFormat="false" ht="15" hidden="false" customHeight="false" outlineLevel="0" collapsed="false">
      <c r="G5" s="0" t="s">
        <v>69</v>
      </c>
    </row>
    <row r="6" customFormat="false" ht="15" hidden="false" customHeight="false" outlineLevel="0" collapsed="false">
      <c r="G6" s="0" t="s">
        <v>70</v>
      </c>
    </row>
    <row r="7" customFormat="false" ht="15" hidden="false" customHeight="false" outlineLevel="0" collapsed="false">
      <c r="G7" s="0" t="s">
        <v>10</v>
      </c>
    </row>
    <row r="8" customFormat="false" ht="15" hidden="false" customHeight="false" outlineLevel="0" collapsed="false">
      <c r="G8" s="0" t="s">
        <v>71</v>
      </c>
    </row>
    <row r="9" customFormat="false" ht="15" hidden="false" customHeight="false" outlineLevel="0" collapsed="false">
      <c r="G9" s="0" t="s">
        <v>72</v>
      </c>
    </row>
    <row r="10" customFormat="false" ht="15" hidden="false" customHeight="false" outlineLevel="0" collapsed="false">
      <c r="G10" s="0" t="s">
        <v>73</v>
      </c>
    </row>
    <row r="11" customFormat="false" ht="15" hidden="false" customHeight="false" outlineLevel="0" collapsed="false">
      <c r="G11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2026-01-31T05:46:11Z</dcterms:created>
  <dc:creator>openpyxl</dc:creator>
  <dc:description/>
  <dc:language>en-US</dc:language>
  <cp:lastModifiedBy/>
  <dcterms:modified xsi:type="dcterms:W3CDTF">2026-01-31T05:46:11Z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