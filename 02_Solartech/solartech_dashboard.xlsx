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_RAW_Deals" sheetId="1" state="visible" r:id="rId3"/>
    <sheet name="_RAW_Invoices" sheetId="2" state="visible" r:id="rId4"/>
    <sheet name="_RAW_Stock" sheetId="3" state="visible" r:id="rId5"/>
    <sheet name="_RAW_PO" sheetId="4" state="visible" r:id="rId6"/>
    <sheet name="_RAW_SO" sheetId="5" state="visible" r:id="rId7"/>
    <sheet name="Settings" sheetId="6" state="visible" r:id="rId8"/>
    <sheet name="Pipeline Tracker" sheetId="7" state="visible" r:id="rId9"/>
    <sheet name="Margin Analysis" sheetId="8" state="visible" r:id="rId10"/>
    <sheet name="Inventory Status" sheetId="9" state="visible" r:id="rId11"/>
    <sheet name="Intercompany Tracking" sheetId="10" state="visible" r:id="rId12"/>
    <sheet name="Monthly KPI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<sst xmlns="http://schemas.openxmlformats.org/spreadsheetml/2006/main" count="180" uniqueCount="118">
  <si>
    <t xml:space="preserve">Paste Zoho export here (starting at A2)</t>
  </si>
  <si>
    <t xml:space="preserve">Deal ID</t>
  </si>
  <si>
    <t xml:space="preserve">Deal Name</t>
  </si>
  <si>
    <t xml:space="preserve">Account ID</t>
  </si>
  <si>
    <t xml:space="preserve">Account Name</t>
  </si>
  <si>
    <t xml:space="preserve">Deal Amount</t>
  </si>
  <si>
    <t xml:space="preserve">Stage</t>
  </si>
  <si>
    <t xml:space="preserve">Probability %</t>
  </si>
  <si>
    <t xml:space="preserve">Invoice ID</t>
  </si>
  <si>
    <t xml:space="preserve">Product Category</t>
  </si>
  <si>
    <t xml:space="preserve">Product Name</t>
  </si>
  <si>
    <t xml:space="preserve">Quantity</t>
  </si>
  <si>
    <t xml:space="preserve">Line Total ($)</t>
  </si>
  <si>
    <t xml:space="preserve">Product ID</t>
  </si>
  <si>
    <t xml:space="preserve">Category</t>
  </si>
  <si>
    <t xml:space="preserve">Qty on Hand</t>
  </si>
  <si>
    <t xml:space="preserve">Unit Cost ($)</t>
  </si>
  <si>
    <t xml:space="preserve">Inventory Value ($)</t>
  </si>
  <si>
    <t xml:space="preserve">Reorder Level</t>
  </si>
  <si>
    <t xml:space="preserve">PO ID</t>
  </si>
  <si>
    <t xml:space="preserve">Total Cost ($)</t>
  </si>
  <si>
    <t xml:space="preserve">Order ID</t>
  </si>
  <si>
    <t xml:space="preserve">Customer Name</t>
  </si>
  <si>
    <t xml:space="preserve">Is Intercompany</t>
  </si>
  <si>
    <t xml:space="preserve">Order Total ($)</t>
  </si>
  <si>
    <t xml:space="preserve">SETTINGS &amp; ASSUMPTIONS</t>
  </si>
  <si>
    <t xml:space="preserve">Monthly COGS (for DIO calculation):</t>
  </si>
  <si>
    <t xml:space="preserve">Currency:</t>
  </si>
  <si>
    <t xml:space="preserve">USD</t>
  </si>
  <si>
    <t xml:space="preserve">Fiscal Year Start Month:</t>
  </si>
  <si>
    <t xml:space="preserve">Report Generated:</t>
  </si>
  <si>
    <t xml:space="preserve">2026-01-31</t>
  </si>
  <si>
    <t xml:space="preserve">SOLARTECH PIPELINE TRACKER</t>
  </si>
  <si>
    <t xml:space="preserve">Paste Zoho CRM Deals export into _RAW_Deals sheet, then refresh this analysis</t>
  </si>
  <si>
    <t xml:space="preserve">Deal Count</t>
  </si>
  <si>
    <t xml:space="preserve">Total Value ($)</t>
  </si>
  <si>
    <t xml:space="preserve">Avg Deal Size ($)</t>
  </si>
  <si>
    <t xml:space="preserve">Min Deal ($)</t>
  </si>
  <si>
    <t xml:space="preserve">Max Deal ($)</t>
  </si>
  <si>
    <t xml:space="preserve">Probability Avg (%)</t>
  </si>
  <si>
    <t xml:space="preserve">Forecast ($)</t>
  </si>
  <si>
    <t xml:space="preserve">Prospect</t>
  </si>
  <si>
    <t xml:space="preserve">Qualification</t>
  </si>
  <si>
    <t xml:space="preserve">Proposal</t>
  </si>
  <si>
    <t xml:space="preserve">Negotiation</t>
  </si>
  <si>
    <t xml:space="preserve">Closed Won</t>
  </si>
  <si>
    <t xml:space="preserve">Closed Lost</t>
  </si>
  <si>
    <t xml:space="preserve">SUMMARY METRICS</t>
  </si>
  <si>
    <t xml:space="preserve">Open Pipeline</t>
  </si>
  <si>
    <t xml:space="preserve">Total Pipeline</t>
  </si>
  <si>
    <t xml:space="preserve">Win Rate %</t>
  </si>
  <si>
    <t xml:space="preserve">Values:</t>
  </si>
  <si>
    <t xml:space="preserve">MARGIN ANALYSIS</t>
  </si>
  <si>
    <t xml:space="preserve">Paste Zoho Invoices and Stock data to calculate margins by product line</t>
  </si>
  <si>
    <t xml:space="preserve">Total Revenue ($)</t>
  </si>
  <si>
    <t xml:space="preserve">Total COGS ($)</t>
  </si>
  <si>
    <t xml:space="preserve">Gross Profit ($)</t>
  </si>
  <si>
    <t xml:space="preserve">Gross Margin %</t>
  </si>
  <si>
    <t xml:space="preserve">Solar</t>
  </si>
  <si>
    <t xml:space="preserve">Boiler</t>
  </si>
  <si>
    <t xml:space="preserve">Water Treatment</t>
  </si>
  <si>
    <t xml:space="preserve">TOTAL</t>
  </si>
  <si>
    <t xml:space="preserve">Top Customers</t>
  </si>
  <si>
    <t xml:space="preserve">Revenue ($)</t>
  </si>
  <si>
    <t xml:space="preserve">COGS ($)</t>
  </si>
  <si>
    <t xml:space="preserve">Margin %</t>
  </si>
  <si>
    <t xml:space="preserve">INVENTORY STATUS</t>
  </si>
  <si>
    <t xml:space="preserve">Paste Zoho Inventory Stock data to analyze inventory health</t>
  </si>
  <si>
    <t xml:space="preserve">Days Inventory</t>
  </si>
  <si>
    <t xml:space="preserve">Status</t>
  </si>
  <si>
    <t xml:space="preserve">Days in Stock</t>
  </si>
  <si>
    <t xml:space="preserve">Action</t>
  </si>
  <si>
    <t xml:space="preserve">[Auto-populated from raw data - sort by Days &gt; 90]</t>
  </si>
  <si>
    <t xml:space="preserve">INTERCOMPANY TRANSACTIONS</t>
  </si>
  <si>
    <t xml:space="preserve">Track purchases from WCI (supplier) and sales to Hippos (retail arm)</t>
  </si>
  <si>
    <t xml:space="preserve">Month</t>
  </si>
  <si>
    <t xml:space="preserve">PO Count</t>
  </si>
  <si>
    <t xml:space="preserve">Total Spend ($)</t>
  </si>
  <si>
    <t xml:space="preserve">Avg PO Value ($)</t>
  </si>
  <si>
    <t xml:space="preserve">Top Product</t>
  </si>
  <si>
    <t xml:space="preserve">Jan</t>
  </si>
  <si>
    <t xml:space="preserve">[Count from PO data]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</si>
  <si>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</si>
  <si>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</si>
  <si>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</si>
  <si>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</si>
  <si>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</si>
  <si>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</si>
  <si>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</si>
  <si>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</si>
  <si>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</si>
  <si>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</si>
  <si>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</si>
  <si>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Order Count</t>
  </si>
  <si>
    <t xml:space="preserve">Avg Order Value ($)</t>
  </si>
  <si>
    <t xml:space="preserve">[Count from SO data]</t>
  </si>
  <si>
    <t xml:space="preserve">Product</t>
  </si>
  <si>
    <t xml:space="preserve">WCI Cost ($)</t>
  </si>
  <si>
    <t xml:space="preserve">Solartech Price ($)</t>
  </si>
  <si>
    <t xml:space="preserve">Hippos Price ($)</t>
  </si>
  <si>
    <t xml:space="preserve">Total Markup %</t>
  </si>
  <si>
    <t xml:space="preserve">Solar Panel - 400W</t>
  </si>
  <si>
    <t xml:space="preserve">Boiler - 100L</t>
  </si>
  <si>
    <t xml:space="preserve">Water Filter - Pro</t>
  </si>
  <si>
    <t xml:space="preserve">MONTHLY KPI SUMMARY</t>
  </si>
  <si>
    <t xml:space="preserve">Select Month/Year:</t>
  </si>
  <si>
    <t xml:space="preserve">January 2026</t>
  </si>
  <si>
    <t xml:space="preserve">Metric</t>
  </si>
  <si>
    <t xml:space="preserve">Current Month</t>
  </si>
  <si>
    <t xml:space="preserve">Prior Month</t>
  </si>
  <si>
    <t xml:space="preserve">YTD Target</t>
  </si>
  <si>
    <t xml:space="preserve">Pipeline Value ($)</t>
  </si>
  <si>
    <t xml:space="preserve">Deals Closed Won</t>
  </si>
  <si>
    <t xml:space="preserve">Inventory Turnover (days)</t>
  </si>
  <si>
    <t xml:space="preserve">Order Fulfillment Rate %</t>
  </si>
  <si>
    <t xml:space="preserve">Average Deal Size ($)</t>
  </si>
  <si>
    <t xml:space="preserve">Days Sales Outstanding</t>
  </si>
  <si>
    <t xml:space="preserve">Customer Count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</si>
</sst>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\%"/>
    <numFmt numFmtId="167" formatCode="#,##0"/>
    <numFmt numFmtId="168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0000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00"/>
      <name val="Cambria"/>
      <family val="0"/>
      <charset val="1"/>
    </font>
    <font>
      <i val="true"/>
      <sz val="11"/>
      <color rgb="FF999999"/>
      <name val="Cambria"/>
      <family val="0"/>
      <charset val="1"/>
    </font>
    <font>
      <i val="true"/>
      <sz val="9"/>
      <color rgb="FF999999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  <fill>
      <patternFill patternType="solid">
        <fgColor rgb="FF366092"/>
        <bgColor rgb="FF6666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66092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5"/>
    <col collapsed="false" customWidth="true" hidden="false" outlineLevel="0" max="3" min="3" style="1" width="15"/>
    <col collapsed="false" customWidth="true" hidden="false" outlineLevel="0" max="4" min="4" style="1" width="20"/>
    <col collapsed="false" customWidth="true" hidden="false" outlineLevel="0" max="6" min="5" style="1" width="15"/>
    <col collapsed="false" customWidth="true" hidden="false" outlineLevel="0" max="7" min="7" style="1" width="12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3" min="2" style="1" width="20"/>
    <col collapsed="false" customWidth="true" hidden="false" outlineLevel="0" max="5" min="4" style="1" width="15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3" min="2" style="1" width="20"/>
    <col collapsed="false" customWidth="true" hidden="false" outlineLevel="0" max="7" min="4" style="1" width="15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13</v>
      </c>
      <c r="B2" s="3" t="s">
        <v>10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4" min="3" style="1" width="15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19</v>
      </c>
      <c r="B2" s="3" t="s">
        <v>10</v>
      </c>
      <c r="C2" s="3" t="s">
        <v>11</v>
      </c>
      <c r="D2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3" min="3" style="1" width="15"/>
    <col collapsed="false" customWidth="true" hidden="false" outlineLevel="0" max="4" min="4" style="1" width="12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21</v>
      </c>
      <c r="B2" s="3" t="s">
        <v>22</v>
      </c>
      <c r="C2" s="3" t="s">
        <v>23</v>
      </c>
      <c r="D2" s="3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true" outlineLevel="0" collapsed="false">
      <c r="A1" s="4" t="s">
        <v>25</v>
      </c>
    </row>
    <row r="2" customFormat="false" ht="15" hidden="false" customHeight="true" outlineLevel="0" collapsed="false">
      <c r="A2" s="1" t="s">
        <v>26</v>
      </c>
      <c r="B2" s="5" t="n">
        <v>0</v>
      </c>
    </row>
    <row r="3" customFormat="false" ht="15" hidden="false" customHeight="true" outlineLevel="0" collapsed="false">
      <c r="A3" s="1" t="s">
        <v>27</v>
      </c>
      <c r="B3" s="6" t="s">
        <v>28</v>
      </c>
    </row>
    <row r="4" customFormat="false" ht="15" hidden="false" customHeight="true" outlineLevel="0" collapsed="false">
      <c r="A4" s="1" t="s">
        <v>29</v>
      </c>
      <c r="B4" s="6" t="n">
        <v>1</v>
      </c>
    </row>
    <row r="5" customFormat="false" ht="15" hidden="false" customHeight="true" outlineLevel="0" collapsed="false">
      <c r="A5" s="1" t="s">
        <v>30</v>
      </c>
      <c r="B5" s="7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5"/>
    <col collapsed="false" customWidth="true" hidden="false" outlineLevel="0" max="3" min="3" style="1" width="20"/>
    <col collapsed="false" customWidth="true" hidden="false" outlineLevel="0" max="7" min="4" style="1" width="15"/>
    <col collapsed="false" customWidth="true" hidden="false" outlineLevel="0" max="8" min="8" style="1" width="12"/>
  </cols>
  <sheetData>
    <row r="1" customFormat="false" ht="15" hidden="false" customHeight="true" outlineLevel="0" collapsed="false">
      <c r="A1" s="8" t="s">
        <v>32</v>
      </c>
      <c r="B1" s="8"/>
      <c r="C1" s="8"/>
      <c r="D1" s="8"/>
      <c r="E1" s="8"/>
      <c r="F1" s="8"/>
      <c r="G1" s="8"/>
      <c r="H1" s="8"/>
    </row>
    <row r="2" customFormat="false" ht="15" hidden="false" customHeight="true" outlineLevel="0" collapsed="false">
      <c r="A2" s="9" t="s">
        <v>33</v>
      </c>
      <c r="B2" s="9"/>
      <c r="C2" s="9"/>
      <c r="D2" s="9"/>
      <c r="E2" s="9"/>
      <c r="F2" s="9"/>
      <c r="G2" s="9"/>
      <c r="H2" s="9"/>
    </row>
    <row r="4" customFormat="false" ht="26.25" hidden="false" customHeight="true" outlineLevel="0" collapsed="false">
      <c r="A4" s="10" t="s">
        <v>6</v>
      </c>
      <c r="B4" s="10" t="s">
        <v>34</v>
      </c>
      <c r="C4" s="10" t="s">
        <v>35</v>
      </c>
      <c r="D4" s="10" t="s">
        <v>36</v>
      </c>
      <c r="E4" s="10" t="s">
        <v>37</v>
      </c>
      <c r="F4" s="10" t="s">
        <v>38</v>
      </c>
      <c r="G4" s="10" t="s">
        <v>39</v>
      </c>
      <c r="H4" s="10" t="s">
        <v>40</v>
      </c>
    </row>
    <row r="5" customFormat="false" ht="15" hidden="false" customHeight="true" outlineLevel="0" collapsed="false">
      <c r="A5" s="6" t="s">
        <v>41</v>
      </c>
      <c r="B5" s="11" t="n">
        <f aca="false">COUNTIF(_RAW_Deals!F:F,"Prospect")</f>
        <v>0</v>
      </c>
      <c r="C5" s="12" t="n">
        <f aca="false">SUMIF(_RAW_Deals!F:F,"Prospect",_RAW_Deals!E:E)</f>
        <v>0</v>
      </c>
      <c r="D5" s="12" t="n">
        <f aca="false">IFERROR(C5/B5,0)</f>
        <v>0</v>
      </c>
      <c r="E5" s="12" t="str">
        <f aca="false">IFERROR(minifs(_RAW_Deals!E:E,_RAW_Deals!F:F,"Prospect"),"-")</f>
        <v>-</v>
      </c>
      <c r="F5" s="12" t="str">
        <f aca="false">IFERROR(maxifs(_RAW_Deals!E:E,_RAW_Deals!F:F,"Prospect"),"-")</f>
        <v>-</v>
      </c>
      <c r="G5" s="13" t="n">
        <f aca="false">IFERROR(AVERAGEIF(_RAW_Deals!F:F,"Prospect",_RAW_Deals!G:G),0)</f>
        <v>0</v>
      </c>
      <c r="H5" s="12" t="n">
        <f aca="false">IFERROR(C5*(G5/100),0)</f>
        <v>0</v>
      </c>
    </row>
    <row r="6" customFormat="false" ht="15" hidden="false" customHeight="true" outlineLevel="0" collapsed="false">
      <c r="A6" s="6" t="s">
        <v>42</v>
      </c>
      <c r="B6" s="11" t="n">
        <f aca="false">COUNTIF(_RAW_Deals!F:F,"Qualification")</f>
        <v>0</v>
      </c>
      <c r="C6" s="12" t="n">
        <f aca="false">SUMIF(_RAW_Deals!F:F,"Qualification",_RAW_Deals!E:E)</f>
        <v>0</v>
      </c>
      <c r="D6" s="12" t="n">
        <f aca="false">IFERROR(C6/B6,0)</f>
        <v>0</v>
      </c>
      <c r="E6" s="12" t="str">
        <f aca="false">IFERROR(minifs(_RAW_Deals!E:E,_RAW_Deals!F:F,"Qualification"),"-")</f>
        <v>-</v>
      </c>
      <c r="F6" s="12" t="str">
        <f aca="false">IFERROR(maxifs(_RAW_Deals!E:E,_RAW_Deals!F:F,"Qualification"),"-")</f>
        <v>-</v>
      </c>
      <c r="G6" s="13" t="n">
        <f aca="false">IFERROR(AVERAGEIF(_RAW_Deals!F:F,"Qualification",_RAW_Deals!G:G),0)</f>
        <v>0</v>
      </c>
      <c r="H6" s="12" t="n">
        <f aca="false">IFERROR(C6*(G6/100),0)</f>
        <v>0</v>
      </c>
    </row>
    <row r="7" customFormat="false" ht="15" hidden="false" customHeight="true" outlineLevel="0" collapsed="false">
      <c r="A7" s="6" t="s">
        <v>43</v>
      </c>
      <c r="B7" s="11" t="n">
        <f aca="false">COUNTIF(_RAW_Deals!F:F,"Proposal")</f>
        <v>0</v>
      </c>
      <c r="C7" s="12" t="n">
        <f aca="false">SUMIF(_RAW_Deals!F:F,"Proposal",_RAW_Deals!E:E)</f>
        <v>0</v>
      </c>
      <c r="D7" s="12" t="n">
        <f aca="false">IFERROR(C7/B7,0)</f>
        <v>0</v>
      </c>
      <c r="E7" s="12" t="str">
        <f aca="false">IFERROR(minifs(_RAW_Deals!E:E,_RAW_Deals!F:F,"Proposal"),"-")</f>
        <v>-</v>
      </c>
      <c r="F7" s="12" t="str">
        <f aca="false">IFERROR(maxifs(_RAW_Deals!E:E,_RAW_Deals!F:F,"Proposal"),"-")</f>
        <v>-</v>
      </c>
      <c r="G7" s="13" t="n">
        <f aca="false">IFERROR(AVERAGEIF(_RAW_Deals!F:F,"Proposal",_RAW_Deals!G:G),0)</f>
        <v>0</v>
      </c>
      <c r="H7" s="12" t="n">
        <f aca="false">IFERROR(C7*(G7/100),0)</f>
        <v>0</v>
      </c>
    </row>
    <row r="8" customFormat="false" ht="15" hidden="false" customHeight="true" outlineLevel="0" collapsed="false">
      <c r="A8" s="6" t="s">
        <v>44</v>
      </c>
      <c r="B8" s="11" t="n">
        <f aca="false">COUNTIF(_RAW_Deals!F:F,"Negotiation")</f>
        <v>0</v>
      </c>
      <c r="C8" s="12" t="n">
        <f aca="false">SUMIF(_RAW_Deals!F:F,"Negotiation",_RAW_Deals!E:E)</f>
        <v>0</v>
      </c>
      <c r="D8" s="12" t="n">
        <f aca="false">IFERROR(C8/B8,0)</f>
        <v>0</v>
      </c>
      <c r="E8" s="12" t="str">
        <f aca="false">IFERROR(minifs(_RAW_Deals!E:E,_RAW_Deals!F:F,"Negotiation"),"-")</f>
        <v>-</v>
      </c>
      <c r="F8" s="12" t="str">
        <f aca="false">IFERROR(maxifs(_RAW_Deals!E:E,_RAW_Deals!F:F,"Negotiation"),"-")</f>
        <v>-</v>
      </c>
      <c r="G8" s="13" t="n">
        <f aca="false">IFERROR(AVERAGEIF(_RAW_Deals!F:F,"Negotiation",_RAW_Deals!G:G),0)</f>
        <v>0</v>
      </c>
      <c r="H8" s="12" t="n">
        <f aca="false">IFERROR(C8*(G8/100),0)</f>
        <v>0</v>
      </c>
    </row>
    <row r="9" customFormat="false" ht="15" hidden="false" customHeight="true" outlineLevel="0" collapsed="false">
      <c r="A9" s="6" t="s">
        <v>45</v>
      </c>
      <c r="B9" s="11" t="n">
        <f aca="false">COUNTIF(_RAW_Deals!F:F,"Closed Won")</f>
        <v>0</v>
      </c>
      <c r="C9" s="12" t="n">
        <f aca="false">SUMIF(_RAW_Deals!F:F,"Closed Won",_RAW_Deals!E:E)</f>
        <v>0</v>
      </c>
      <c r="D9" s="12" t="n">
        <f aca="false">IFERROR(C9/B9,0)</f>
        <v>0</v>
      </c>
      <c r="E9" s="12" t="str">
        <f aca="false">IFERROR(minifs(_RAW_Deals!E:E,_RAW_Deals!F:F,"Closed Won"),"-")</f>
        <v>-</v>
      </c>
      <c r="F9" s="12" t="str">
        <f aca="false">IFERROR(maxifs(_RAW_Deals!E:E,_RAW_Deals!F:F,"Closed Won"),"-")</f>
        <v>-</v>
      </c>
      <c r="G9" s="13" t="n">
        <f aca="false">IFERROR(AVERAGEIF(_RAW_Deals!F:F,"Closed Won",_RAW_Deals!G:G),0)</f>
        <v>0</v>
      </c>
      <c r="H9" s="12" t="n">
        <f aca="false">IFERROR(C9*(G9/100),0)</f>
        <v>0</v>
      </c>
    </row>
    <row r="10" customFormat="false" ht="15" hidden="false" customHeight="true" outlineLevel="0" collapsed="false">
      <c r="A10" s="6" t="s">
        <v>46</v>
      </c>
      <c r="B10" s="11" t="n">
        <f aca="false">COUNTIF(_RAW_Deals!F:F,"Closed Lost")</f>
        <v>0</v>
      </c>
      <c r="C10" s="12" t="n">
        <f aca="false">SUMIF(_RAW_Deals!F:F,"Closed Lost",_RAW_Deals!E:E)</f>
        <v>0</v>
      </c>
      <c r="D10" s="12" t="n">
        <f aca="false">IFERROR(C10/B10,0)</f>
        <v>0</v>
      </c>
      <c r="E10" s="12" t="str">
        <f aca="false">IFERROR(minifs(_RAW_Deals!E:E,_RAW_Deals!F:F,"Closed Lost"),"-")</f>
        <v>-</v>
      </c>
      <c r="F10" s="12" t="str">
        <f aca="false">IFERROR(maxifs(_RAW_Deals!E:E,_RAW_Deals!F:F,"Closed Lost"),"-")</f>
        <v>-</v>
      </c>
      <c r="G10" s="13" t="n">
        <f aca="false">IFERROR(AVERAGEIF(_RAW_Deals!F:F,"Closed Lost",_RAW_Deals!G:G),0)</f>
        <v>0</v>
      </c>
      <c r="H10" s="12" t="n">
        <f aca="false">IFERROR(C10*(G10/100),0)</f>
        <v>0</v>
      </c>
    </row>
    <row r="12" customFormat="false" ht="15" hidden="false" customHeight="true" outlineLevel="0" collapsed="false">
      <c r="A12" s="14" t="s">
        <v>47</v>
      </c>
      <c r="B12" s="14" t="s">
        <v>48</v>
      </c>
      <c r="C12" s="14" t="s">
        <v>49</v>
      </c>
      <c r="D12" s="14" t="s">
        <v>50</v>
      </c>
    </row>
    <row r="13" customFormat="false" ht="15" hidden="false" customHeight="true" outlineLevel="0" collapsed="false">
      <c r="A13" s="1" t="s">
        <v>51</v>
      </c>
      <c r="B13" s="12" t="n">
        <f aca="false">SUM(C5:C8)</f>
        <v>0</v>
      </c>
      <c r="C13" s="12" t="n">
        <f aca="false">SUM(C5:C11)</f>
        <v>0</v>
      </c>
      <c r="D13" s="13" t="n">
        <f aca="false">IFERROR(C10/(C10+C11),0)</f>
        <v>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5" min="2" style="1" width="15"/>
  </cols>
  <sheetData>
    <row r="1" customFormat="false" ht="15" hidden="false" customHeight="true" outlineLevel="0" collapsed="false">
      <c r="A1" s="8" t="s">
        <v>52</v>
      </c>
      <c r="B1" s="8"/>
      <c r="C1" s="8"/>
      <c r="D1" s="8"/>
      <c r="E1" s="8"/>
    </row>
    <row r="2" customFormat="false" ht="15" hidden="false" customHeight="true" outlineLevel="0" collapsed="false">
      <c r="A2" s="9" t="s">
        <v>53</v>
      </c>
      <c r="B2" s="9"/>
      <c r="C2" s="9"/>
      <c r="D2" s="9"/>
      <c r="E2" s="9"/>
    </row>
    <row r="4" customFormat="false" ht="26.25" hidden="false" customHeight="true" outlineLevel="0" collapsed="false">
      <c r="A4" s="10" t="s">
        <v>9</v>
      </c>
      <c r="B4" s="10" t="s">
        <v>54</v>
      </c>
      <c r="C4" s="10" t="s">
        <v>55</v>
      </c>
      <c r="D4" s="10" t="s">
        <v>56</v>
      </c>
      <c r="E4" s="10" t="s">
        <v>57</v>
      </c>
    </row>
    <row r="5" customFormat="false" ht="15" hidden="false" customHeight="true" outlineLevel="0" collapsed="false">
      <c r="A5" s="6" t="s">
        <v>58</v>
      </c>
      <c r="B5" s="12" t="n">
        <f aca="false">SUMIF(_RAW_Invoices!B:B,"Solar",_RAW_Invoices!E:E)</f>
        <v>0</v>
      </c>
      <c r="C5" s="12" t="n">
        <f aca="false">SUMIF(_RAW_Stock!C:C,"Solar",_RAW_Stock!F:F)</f>
        <v>0</v>
      </c>
      <c r="D5" s="12" t="n">
        <f aca="false">B5-C5</f>
        <v>0</v>
      </c>
      <c r="E5" s="13" t="n">
        <f aca="false">IFERROR(D5/B5,0)</f>
        <v>0</v>
      </c>
    </row>
    <row r="6" customFormat="false" ht="15" hidden="false" customHeight="true" outlineLevel="0" collapsed="false">
      <c r="A6" s="6" t="s">
        <v>59</v>
      </c>
      <c r="B6" s="12" t="n">
        <f aca="false">SUMIF(_RAW_Invoices!B:B,"Boiler",_RAW_Invoices!E:E)</f>
        <v>0</v>
      </c>
      <c r="C6" s="12" t="n">
        <f aca="false">SUMIF(_RAW_Stock!C:C,"Boiler",_RAW_Stock!F:F)</f>
        <v>0</v>
      </c>
      <c r="D6" s="12" t="n">
        <f aca="false">B6-C6</f>
        <v>0</v>
      </c>
      <c r="E6" s="13" t="n">
        <f aca="false">IFERROR(D6/B6,0)</f>
        <v>0</v>
      </c>
    </row>
    <row r="7" customFormat="false" ht="15" hidden="false" customHeight="true" outlineLevel="0" collapsed="false">
      <c r="A7" s="6" t="s">
        <v>60</v>
      </c>
      <c r="B7" s="12" t="n">
        <f aca="false">SUMIF(_RAW_Invoices!B:B,"Water Treatment",_RAW_Invoices!E:E)</f>
        <v>0</v>
      </c>
      <c r="C7" s="12" t="n">
        <f aca="false">SUMIF(_RAW_Stock!C:C,"Water Treatment",_RAW_Stock!F:F)</f>
        <v>0</v>
      </c>
      <c r="D7" s="12" t="n">
        <f aca="false">B7-C7</f>
        <v>0</v>
      </c>
      <c r="E7" s="13" t="n">
        <f aca="false">IFERROR(D7/B7,0)</f>
        <v>0</v>
      </c>
    </row>
    <row r="8" customFormat="false" ht="15" hidden="false" customHeight="true" outlineLevel="0" collapsed="false">
      <c r="A8" s="4" t="s">
        <v>61</v>
      </c>
      <c r="B8" s="12" t="n">
        <f aca="false">SUM(B5:B7)</f>
        <v>0</v>
      </c>
      <c r="C8" s="12" t="n">
        <f aca="false">SUM(C5:C7)</f>
        <v>0</v>
      </c>
      <c r="D8" s="12" t="n">
        <f aca="false">B8-C8</f>
        <v>0</v>
      </c>
      <c r="E8" s="13" t="n">
        <f aca="false">IFERROR(D8/B8,0)</f>
        <v>0</v>
      </c>
    </row>
    <row r="11" customFormat="false" ht="26.25" hidden="false" customHeight="true" outlineLevel="0" collapsed="false">
      <c r="A11" s="10" t="s">
        <v>62</v>
      </c>
      <c r="B11" s="10" t="s">
        <v>63</v>
      </c>
      <c r="C11" s="10" t="s">
        <v>64</v>
      </c>
      <c r="D11" s="10" t="s">
        <v>56</v>
      </c>
      <c r="E11" s="10" t="s">
        <v>65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6" min="2" style="1" width="15"/>
  </cols>
  <sheetData>
    <row r="1" customFormat="false" ht="15" hidden="false" customHeight="true" outlineLevel="0" collapsed="false">
      <c r="A1" s="8" t="s">
        <v>66</v>
      </c>
      <c r="B1" s="8"/>
      <c r="C1" s="8"/>
      <c r="D1" s="8"/>
      <c r="E1" s="8"/>
      <c r="F1" s="8"/>
    </row>
    <row r="2" customFormat="false" ht="15" hidden="false" customHeight="true" outlineLevel="0" collapsed="false">
      <c r="A2" s="9" t="s">
        <v>67</v>
      </c>
      <c r="B2" s="9"/>
      <c r="C2" s="9"/>
      <c r="D2" s="9"/>
      <c r="E2" s="9"/>
      <c r="F2" s="9"/>
    </row>
    <row r="4" customFormat="false" ht="26.25" hidden="false" customHeight="true" outlineLevel="0" collapsed="false">
      <c r="A4" s="10" t="s">
        <v>9</v>
      </c>
      <c r="B4" s="10" t="s">
        <v>15</v>
      </c>
      <c r="C4" s="10" t="s">
        <v>17</v>
      </c>
      <c r="D4" s="10" t="s">
        <v>18</v>
      </c>
      <c r="E4" s="10" t="s">
        <v>68</v>
      </c>
      <c r="F4" s="10" t="s">
        <v>69</v>
      </c>
    </row>
    <row r="5" customFormat="false" ht="15" hidden="false" customHeight="true" outlineLevel="0" collapsed="false">
      <c r="A5" s="6" t="s">
        <v>58</v>
      </c>
      <c r="B5" s="15" t="n">
        <f aca="false">SUMIF(_RAW_Stock!C:C,"Solar",_RAW_Stock!D:D)</f>
        <v>0</v>
      </c>
      <c r="C5" s="12" t="n">
        <f aca="false">SUMIF(_RAW_Stock!C:C,"Solar",_RAW_Stock!F:F)</f>
        <v>0</v>
      </c>
      <c r="D5" s="15" t="n">
        <f aca="false">SUMIF(_RAW_Stock!C:C,"Solar",_RAW_Stock!G:G)</f>
        <v>0</v>
      </c>
      <c r="E5" s="16" t="n">
        <f aca="false">IFERROR((C5/Settings!$B$2)/30,0)</f>
        <v>0</v>
      </c>
      <c r="F5" s="11" t="str">
        <f aca="false">IF(B5&lt;D5,"REORDER",IF(E5&gt;90,"SLOW","OK"))</f>
        <v>OK</v>
      </c>
    </row>
    <row r="6" customFormat="false" ht="15" hidden="false" customHeight="true" outlineLevel="0" collapsed="false">
      <c r="A6" s="6" t="s">
        <v>59</v>
      </c>
      <c r="B6" s="15" t="n">
        <f aca="false">SUMIF(_RAW_Stock!C:C,"Boiler",_RAW_Stock!D:D)</f>
        <v>0</v>
      </c>
      <c r="C6" s="12" t="n">
        <f aca="false">SUMIF(_RAW_Stock!C:C,"Boiler",_RAW_Stock!F:F)</f>
        <v>0</v>
      </c>
      <c r="D6" s="15" t="n">
        <f aca="false">SUMIF(_RAW_Stock!C:C,"Boiler",_RAW_Stock!G:G)</f>
        <v>0</v>
      </c>
      <c r="E6" s="16" t="n">
        <f aca="false">IFERROR((C6/Settings!$B$2)/30,0)</f>
        <v>0</v>
      </c>
      <c r="F6" s="11" t="str">
        <f aca="false">IF(B6&lt;D6,"REORDER",IF(E6&gt;90,"SLOW","OK"))</f>
        <v>OK</v>
      </c>
    </row>
    <row r="7" customFormat="false" ht="15" hidden="false" customHeight="true" outlineLevel="0" collapsed="false">
      <c r="A7" s="6" t="s">
        <v>60</v>
      </c>
      <c r="B7" s="15" t="n">
        <f aca="false">SUMIF(_RAW_Stock!C:C,"Water Treatment",_RAW_Stock!D:D)</f>
        <v>0</v>
      </c>
      <c r="C7" s="12" t="n">
        <f aca="false">SUMIF(_RAW_Stock!C:C,"Water Treatment",_RAW_Stock!F:F)</f>
        <v>0</v>
      </c>
      <c r="D7" s="15" t="n">
        <f aca="false">SUMIF(_RAW_Stock!C:C,"Water Treatment",_RAW_Stock!G:G)</f>
        <v>0</v>
      </c>
      <c r="E7" s="16" t="n">
        <f aca="false">IFERROR((C7/Settings!$B$2)/30,0)</f>
        <v>0</v>
      </c>
      <c r="F7" s="11" t="str">
        <f aca="false">IF(B7&lt;D7,"REORDER",IF(E7&gt;90,"SLOW","OK"))</f>
        <v>OK</v>
      </c>
    </row>
    <row r="8" customFormat="false" ht="15" hidden="false" customHeight="true" outlineLevel="0" collapsed="false">
      <c r="A8" s="4" t="s">
        <v>61</v>
      </c>
      <c r="B8" s="15" t="n">
        <f aca="false">SUM(B5:B7)</f>
        <v>0</v>
      </c>
      <c r="C8" s="12" t="n">
        <f aca="false">SUM(C5:C7)</f>
        <v>0</v>
      </c>
    </row>
    <row r="11" customFormat="false" ht="15" hidden="false" customHeight="true" outlineLevel="0" collapsed="false">
      <c r="A11" s="10" t="s">
        <v>10</v>
      </c>
      <c r="B11" s="10" t="s">
        <v>70</v>
      </c>
      <c r="C11" s="10" t="s">
        <v>15</v>
      </c>
      <c r="D11" s="10" t="s">
        <v>71</v>
      </c>
    </row>
    <row r="12" customFormat="false" ht="15" hidden="false" customHeight="true" outlineLevel="0" collapsed="false">
      <c r="A12" s="17" t="s">
        <v>72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5" min="2" style="1" width="15"/>
  </cols>
  <sheetData>
    <row r="1" customFormat="false" ht="15" hidden="false" customHeight="true" outlineLevel="0" collapsed="false">
      <c r="A1" s="8" t="s">
        <v>73</v>
      </c>
      <c r="B1" s="8"/>
      <c r="C1" s="8"/>
      <c r="D1" s="8"/>
      <c r="E1" s="8"/>
    </row>
    <row r="2" customFormat="false" ht="15" hidden="false" customHeight="true" outlineLevel="0" collapsed="false">
      <c r="A2" s="9" t="s">
        <v>74</v>
      </c>
      <c r="B2" s="9"/>
      <c r="C2" s="9"/>
      <c r="D2" s="9"/>
      <c r="E2" s="9"/>
    </row>
    <row r="4" customFormat="false" ht="26.25" hidden="false" customHeight="true" outlineLevel="0" collapsed="false">
      <c r="A4" s="10" t="s">
        <v>75</v>
      </c>
      <c r="B4" s="10" t="s">
        <v>76</v>
      </c>
      <c r="C4" s="10" t="s">
        <v>77</v>
      </c>
      <c r="D4" s="10" t="s">
        <v>78</v>
      </c>
      <c r="E4" s="10" t="s">
        <v>79</v>
      </c>
    </row>
    <row r="5" customFormat="false" ht="15" hidden="false" customHeight="true" outlineLevel="0" collapsed="false">
      <c r="A5" s="6" t="s">
        <v>80</v>
      </c>
      <c r="B5" s="18" t="s">
        <v>81</v>
      </c>
    </row>
    <row r="6" customFormat="false" ht="15" hidden="false" customHeight="true" outlineLevel="0" collapsed="false">
      <c r="A6" s="6" t="s">
        <v>82</v>
      </c>
      <c r="B6" s="18" t="s">
        <v>81</v>
      </c>
    </row>
    <row r="7" customFormat="false" ht="15" hidden="false" customHeight="true" outlineLevel="0" collapsed="false">
      <c r="A7" s="6" t="s">
        <v>83</v>
      </c>
      <c r="B7" s="18" t="s">
        <v>81</v>
      </c>
    </row>
    <row r="8" customFormat="false" ht="15" hidden="false" customHeight="true" outlineLevel="0" collapsed="false">
      <c r="A8" s="6" t="s">
        <v>84</v>
      </c>
      <c r="B8" s="18" t="s">
        <v>81</v>
      </c>
    </row>
    <row r="9" customFormat="false" ht="15" hidden="false" customHeight="true" outlineLevel="0" collapsed="false">
      <c r="A9" s="6" t="s">
        <v>85</v>
      </c>
      <c r="B9" s="18" t="s">
        <v>81</v>
      </c>
    </row>
    <row r="10" customFormat="false" ht="15" hidden="false" customHeight="true" outlineLevel="0" collapsed="false">
      <c r="A10" s="6" t="s">
        <v>86</v>
      </c>
      <c r="B10" s="18" t="s">
        <v>81</v>
      </c>
    </row>
    <row r="11" customFormat="false" ht="15" hidden="false" customHeight="true" outlineLevel="0" collapsed="false">
      <c r="A11" s="6" t="s">
        <v>87</v>
      </c>
      <c r="B11" s="18" t="s">
        <v>81</v>
      </c>
    </row>
    <row r="12" customFormat="false" ht="15" hidden="false" customHeight="true" outlineLevel="0" collapsed="false">
      <c r="A12" s="6" t="s">
        <v>88</v>
      </c>
      <c r="B12" s="18" t="s">
        <v>81</v>
      </c>
    </row>
    <row r="13" customFormat="false" ht="15" hidden="false" customHeight="true" outlineLevel="0" collapsed="false">
      <c r="A13" s="6" t="s">
        <v>89</v>
      </c>
      <c r="B13" s="18" t="s">
        <v>81</v>
      </c>
    </row>
    <row r="14" customFormat="false" ht="15" hidden="false" customHeight="true" outlineLevel="0" collapsed="false">
      <c r="A14" s="6" t="s">
        <v>90</v>
      </c>
      <c r="B14" s="18" t="s">
        <v>81</v>
      </c>
    </row>
    <row r="15" customFormat="false" ht="15" hidden="false" customHeight="true" outlineLevel="0" collapsed="false">
      <c r="A15" s="6" t="s">
        <v>91</v>
      </c>
      <c r="B15" s="18" t="s">
        <v>81</v>
      </c>
    </row>
    <row r="16" customFormat="false" ht="15" hidden="false" customHeight="true" outlineLevel="0" collapsed="false">
      <c r="A16" s="6" t="s">
        <v>92</v>
      </c>
      <c r="B16" s="18" t="s">
        <v>81</v>
      </c>
    </row>
    <row r="19" customFormat="false" ht="26.25" hidden="false" customHeight="true" outlineLevel="0" collapsed="false">
      <c r="A19" s="10" t="s">
        <v>75</v>
      </c>
      <c r="B19" s="10" t="s">
        <v>93</v>
      </c>
      <c r="C19" s="10" t="s">
        <v>63</v>
      </c>
      <c r="D19" s="10" t="s">
        <v>94</v>
      </c>
      <c r="E19" s="10" t="s">
        <v>79</v>
      </c>
    </row>
    <row r="20" customFormat="false" ht="15" hidden="false" customHeight="true" outlineLevel="0" collapsed="false">
      <c r="A20" s="6" t="s">
        <v>80</v>
      </c>
      <c r="B20" s="18" t="s">
        <v>95</v>
      </c>
    </row>
    <row r="21" customFormat="false" ht="15" hidden="false" customHeight="true" outlineLevel="0" collapsed="false">
      <c r="A21" s="6" t="s">
        <v>82</v>
      </c>
      <c r="B21" s="18" t="s">
        <v>95</v>
      </c>
    </row>
    <row r="22" customFormat="false" ht="15" hidden="false" customHeight="true" outlineLevel="0" collapsed="false">
      <c r="A22" s="6" t="s">
        <v>83</v>
      </c>
      <c r="B22" s="18" t="s">
        <v>95</v>
      </c>
    </row>
    <row r="23" customFormat="false" ht="15" hidden="false" customHeight="true" outlineLevel="0" collapsed="false">
      <c r="A23" s="6" t="s">
        <v>84</v>
      </c>
      <c r="B23" s="18" t="s">
        <v>95</v>
      </c>
    </row>
    <row r="24" customFormat="false" ht="15" hidden="false" customHeight="true" outlineLevel="0" collapsed="false">
      <c r="A24" s="6" t="s">
        <v>85</v>
      </c>
      <c r="B24" s="18" t="s">
        <v>95</v>
      </c>
    </row>
    <row r="25" customFormat="false" ht="15" hidden="false" customHeight="true" outlineLevel="0" collapsed="false">
      <c r="A25" s="6" t="s">
        <v>86</v>
      </c>
      <c r="B25" s="18" t="s">
        <v>95</v>
      </c>
    </row>
    <row r="26" customFormat="false" ht="15" hidden="false" customHeight="true" outlineLevel="0" collapsed="false">
      <c r="A26" s="6" t="s">
        <v>87</v>
      </c>
      <c r="B26" s="18" t="s">
        <v>95</v>
      </c>
    </row>
    <row r="27" customFormat="false" ht="15" hidden="false" customHeight="true" outlineLevel="0" collapsed="false">
      <c r="A27" s="6" t="s">
        <v>88</v>
      </c>
      <c r="B27" s="18" t="s">
        <v>95</v>
      </c>
    </row>
    <row r="28" customFormat="false" ht="15" hidden="false" customHeight="true" outlineLevel="0" collapsed="false">
      <c r="A28" s="6" t="s">
        <v>89</v>
      </c>
      <c r="B28" s="18" t="s">
        <v>95</v>
      </c>
    </row>
    <row r="29" customFormat="false" ht="15" hidden="false" customHeight="true" outlineLevel="0" collapsed="false">
      <c r="A29" s="6" t="s">
        <v>90</v>
      </c>
      <c r="B29" s="18" t="s">
        <v>95</v>
      </c>
    </row>
    <row r="30" customFormat="false" ht="15" hidden="false" customHeight="true" outlineLevel="0" collapsed="false">
      <c r="A30" s="6" t="s">
        <v>91</v>
      </c>
      <c r="B30" s="18" t="s">
        <v>95</v>
      </c>
    </row>
    <row r="31" customFormat="false" ht="15" hidden="false" customHeight="true" outlineLevel="0" collapsed="false">
      <c r="A31" s="6" t="s">
        <v>92</v>
      </c>
      <c r="B31" s="18" t="s">
        <v>95</v>
      </c>
    </row>
    <row r="34" customFormat="false" ht="26.25" hidden="false" customHeight="true" outlineLevel="0" collapsed="false">
      <c r="A34" s="10" t="s">
        <v>96</v>
      </c>
      <c r="B34" s="10" t="s">
        <v>97</v>
      </c>
      <c r="C34" s="10" t="s">
        <v>98</v>
      </c>
      <c r="D34" s="10" t="s">
        <v>99</v>
      </c>
      <c r="E34" s="10" t="s">
        <v>100</v>
      </c>
    </row>
    <row r="35" customFormat="false" ht="15" hidden="false" customHeight="true" outlineLevel="0" collapsed="false">
      <c r="A35" s="6" t="s">
        <v>101</v>
      </c>
      <c r="B35" s="5" t="n">
        <v>0</v>
      </c>
      <c r="C35" s="5" t="n">
        <v>0</v>
      </c>
      <c r="D35" s="5" t="n">
        <v>0</v>
      </c>
      <c r="E35" s="13" t="n">
        <f aca="false">IFERROR((D35-C35)/C35,0)</f>
        <v>0</v>
      </c>
    </row>
    <row r="36" customFormat="false" ht="15" hidden="false" customHeight="true" outlineLevel="0" collapsed="false">
      <c r="A36" s="6" t="s">
        <v>102</v>
      </c>
      <c r="B36" s="5" t="n">
        <v>0</v>
      </c>
      <c r="C36" s="5" t="n">
        <v>0</v>
      </c>
      <c r="D36" s="5" t="n">
        <v>0</v>
      </c>
      <c r="E36" s="13" t="n">
        <f aca="false">IFERROR((D36-C36)/C36,0)</f>
        <v>0</v>
      </c>
    </row>
    <row r="37" customFormat="false" ht="15" hidden="false" customHeight="true" outlineLevel="0" collapsed="false">
      <c r="A37" s="6" t="s">
        <v>103</v>
      </c>
      <c r="B37" s="5" t="n">
        <v>0</v>
      </c>
      <c r="C37" s="5" t="n">
        <v>0</v>
      </c>
      <c r="D37" s="5" t="n">
        <v>0</v>
      </c>
      <c r="E37" s="13" t="n">
        <f aca="false">IFERROR((D37-C37)/C37,0)</f>
        <v>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5"/>
  </cols>
  <sheetData>
    <row r="1" customFormat="false" ht="15" hidden="false" customHeight="true" outlineLevel="0" collapsed="false">
      <c r="A1" s="8" t="s">
        <v>104</v>
      </c>
      <c r="B1" s="8"/>
      <c r="C1" s="8"/>
      <c r="D1" s="8"/>
    </row>
    <row r="2" customFormat="false" ht="15" hidden="false" customHeight="true" outlineLevel="0" collapsed="false">
      <c r="A2" s="1" t="s">
        <v>105</v>
      </c>
      <c r="B2" s="6" t="s">
        <v>106</v>
      </c>
    </row>
    <row r="4" customFormat="false" ht="15" hidden="false" customHeight="true" outlineLevel="0" collapsed="false">
      <c r="A4" s="10" t="s">
        <v>107</v>
      </c>
      <c r="B4" s="10" t="s">
        <v>108</v>
      </c>
      <c r="C4" s="10" t="s">
        <v>109</v>
      </c>
      <c r="D4" s="10" t="s">
        <v>110</v>
      </c>
    </row>
    <row r="5" customFormat="false" ht="15" hidden="false" customHeight="true" outlineLevel="0" collapsed="false">
      <c r="A5" s="19" t="s">
        <v>54</v>
      </c>
      <c r="B5" s="5" t="n">
        <v>0</v>
      </c>
      <c r="C5" s="5" t="n">
        <v>0</v>
      </c>
      <c r="D5" s="5" t="n">
        <v>0</v>
      </c>
    </row>
    <row r="6" customFormat="false" ht="15" hidden="false" customHeight="true" outlineLevel="0" collapsed="false">
      <c r="A6" s="19" t="s">
        <v>56</v>
      </c>
      <c r="B6" s="5" t="n">
        <v>0</v>
      </c>
      <c r="C6" s="5" t="n">
        <v>0</v>
      </c>
      <c r="D6" s="5" t="n">
        <v>0</v>
      </c>
    </row>
    <row r="7" customFormat="false" ht="15" hidden="false" customHeight="true" outlineLevel="0" collapsed="false">
      <c r="A7" s="19" t="s">
        <v>57</v>
      </c>
      <c r="B7" s="20" t="n">
        <v>0</v>
      </c>
      <c r="C7" s="20" t="n">
        <v>0</v>
      </c>
      <c r="D7" s="20" t="n">
        <v>0</v>
      </c>
    </row>
    <row r="8" customFormat="false" ht="15" hidden="false" customHeight="true" outlineLevel="0" collapsed="false">
      <c r="A8" s="19" t="s">
        <v>111</v>
      </c>
      <c r="B8" s="5" t="n">
        <v>0</v>
      </c>
      <c r="C8" s="5" t="n">
        <v>0</v>
      </c>
      <c r="D8" s="5" t="n">
        <v>0</v>
      </c>
    </row>
    <row r="9" customFormat="false" ht="15" hidden="false" customHeight="true" outlineLevel="0" collapsed="false">
      <c r="A9" s="19" t="s">
        <v>112</v>
      </c>
      <c r="B9" s="6" t="n">
        <v>0</v>
      </c>
      <c r="C9" s="6" t="n">
        <v>0</v>
      </c>
      <c r="D9" s="6" t="n">
        <v>0</v>
      </c>
    </row>
    <row r="10" customFormat="false" ht="15" hidden="false" customHeight="true" outlineLevel="0" collapsed="false">
      <c r="A10" s="19" t="s">
        <v>50</v>
      </c>
      <c r="B10" s="20" t="n">
        <v>0</v>
      </c>
      <c r="C10" s="20" t="n">
        <v>0</v>
      </c>
      <c r="D10" s="20" t="n">
        <v>0</v>
      </c>
    </row>
    <row r="11" customFormat="false" ht="15" hidden="false" customHeight="true" outlineLevel="0" collapsed="false">
      <c r="A11" s="19" t="s">
        <v>17</v>
      </c>
      <c r="B11" s="5" t="n">
        <v>0</v>
      </c>
      <c r="C11" s="5" t="n">
        <v>0</v>
      </c>
      <c r="D11" s="5" t="n">
        <v>0</v>
      </c>
    </row>
    <row r="12" customFormat="false" ht="15" hidden="false" customHeight="true" outlineLevel="0" collapsed="false">
      <c r="A12" s="19" t="s">
        <v>113</v>
      </c>
      <c r="B12" s="6" t="n">
        <v>0</v>
      </c>
      <c r="C12" s="6" t="n">
        <v>0</v>
      </c>
      <c r="D12" s="6" t="n">
        <v>0</v>
      </c>
    </row>
    <row r="13" customFormat="false" ht="15" hidden="false" customHeight="true" outlineLevel="0" collapsed="false">
      <c r="A13" s="19" t="s">
        <v>114</v>
      </c>
      <c r="B13" s="20" t="n">
        <v>0</v>
      </c>
      <c r="C13" s="20" t="n">
        <v>0</v>
      </c>
      <c r="D13" s="20" t="n">
        <v>0</v>
      </c>
    </row>
    <row r="14" customFormat="false" ht="15" hidden="false" customHeight="true" outlineLevel="0" collapsed="false">
      <c r="A14" s="19" t="s">
        <v>115</v>
      </c>
      <c r="B14" s="5" t="n">
        <v>0</v>
      </c>
      <c r="C14" s="5" t="n">
        <v>0</v>
      </c>
      <c r="D14" s="5" t="n">
        <v>0</v>
      </c>
    </row>
    <row r="15" customFormat="false" ht="15" hidden="false" customHeight="true" outlineLevel="0" collapsed="false">
      <c r="A15" s="19" t="s">
        <v>116</v>
      </c>
      <c r="B15" s="6" t="n">
        <v>0</v>
      </c>
      <c r="C15" s="6" t="n">
        <v>0</v>
      </c>
      <c r="D15" s="6" t="n">
        <v>0</v>
      </c>
    </row>
    <row r="16" customFormat="false" ht="15" hidden="false" customHeight="true" outlineLevel="0" collapsed="false">
      <c r="A16" s="19" t="s">
        <v>117</v>
      </c>
      <c r="B16" s="6" t="n">
        <v>0</v>
      </c>
      <c r="C16" s="6" t="n">
        <v>0</v>
      </c>
      <c r="D16" s="6" t="n"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2026-01-31T05:57:26Z</dcterms:created>
  <dc:creator>openpyxl</dc:creator>
  <dc:description/>
  <dc:language>en-US</dc:language>
  <cp:lastModifiedBy/>
  <dcterms:modified xsi:type="dcterms:W3CDTF">2026-01-31T05:57:36Z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