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waterhippos.sharepoint.com/sites/sss2-Solartech-KnowledgeBase/Operations/Product Updates/"/>
    </mc:Choice>
  </mc:AlternateContent>
  <xr:revisionPtr revIDLastSave="247" documentId="8_{CA00A925-DDD6-3E4D-820E-D3C0FF71D2EB}" xr6:coauthVersionLast="47" xr6:coauthVersionMax="47" xr10:uidLastSave="{FF7DE96B-C842-4291-BE26-C545B3AB2A44}"/>
  <bookViews>
    <workbookView xWindow="-110" yWindow="-110" windowWidth="19420" windowHeight="11500" xr2:uid="{F6575D1B-493C-444D-9401-143A8157341D}"/>
  </bookViews>
  <sheets>
    <sheet name="Item SKUs" sheetId="1" r:id="rId1"/>
    <sheet name="Composite SKUs" sheetId="4" r:id="rId2"/>
    <sheet name="Margins" sheetId="3" r:id="rId3"/>
  </sheets>
  <externalReferences>
    <externalReference r:id="rId4"/>
  </externalReferences>
  <definedNames>
    <definedName name="ExternalData_1" localSheetId="1" hidden="1">'Composite SKUs'!$A$1:$D$32</definedName>
    <definedName name="ExternalData_1" localSheetId="0" hidden="1">'Item SKUs'!$A$1:$H$405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J37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L3" i="3"/>
  <c r="L6" i="3"/>
  <c r="B10" i="3"/>
  <c r="K8" i="3"/>
  <c r="K7" i="3"/>
  <c r="K4" i="3"/>
  <c r="K2" i="3"/>
  <c r="K3" i="3"/>
  <c r="K5" i="3"/>
  <c r="K6" i="3"/>
  <c r="K9" i="3"/>
  <c r="K10" i="3"/>
  <c r="J8" i="3"/>
  <c r="J7" i="3"/>
  <c r="J4" i="3"/>
  <c r="J2" i="3"/>
  <c r="J3" i="3"/>
  <c r="J5" i="3"/>
  <c r="J6" i="3"/>
  <c r="J9" i="3"/>
  <c r="J10" i="3"/>
  <c r="I8" i="3"/>
  <c r="I7" i="3"/>
  <c r="I4" i="3"/>
  <c r="I2" i="3"/>
  <c r="I3" i="3"/>
  <c r="I5" i="3"/>
  <c r="I6" i="3"/>
  <c r="I9" i="3"/>
  <c r="I10" i="3"/>
  <c r="J13" i="3"/>
  <c r="K13" i="3"/>
  <c r="I13" i="3"/>
  <c r="C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A3AAA-A63D-410A-B42E-5CB6B69C2D3B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6AFD1928-A370-4801-B758-066C8EA0B7F8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<sst xmlns="http://schemas.openxmlformats.org/spreadsheetml/2006/main" count="2694" uniqueCount="1258">
  <si>
    <t>Item ID</t>
  </si>
  <si>
    <t>Name</t>
  </si>
  <si>
    <t>Business Unit</t>
  </si>
  <si>
    <t>Category</t>
  </si>
  <si>
    <t>Sub-Category</t>
  </si>
  <si>
    <t>SKU</t>
  </si>
  <si>
    <t>Brand</t>
  </si>
  <si>
    <t>Cost Price ( MYR )</t>
  </si>
  <si>
    <t>Stock Moving Status</t>
  </si>
  <si>
    <t>List Price</t>
  </si>
  <si>
    <t>KINETICO MACH 4060s OD (Activated Carbon/Softening Resin)</t>
  </si>
  <si>
    <t>Water: Residential (B2C)</t>
  </si>
  <si>
    <t>6. Water Treatment</t>
  </si>
  <si>
    <t>Softening Systems</t>
  </si>
  <si>
    <t>11215</t>
  </si>
  <si>
    <t>KINETICO</t>
  </si>
  <si>
    <t>KINETICO AIR TANK - QUICKFLO STORAGE TANK, 3 GALLON, BLACK</t>
  </si>
  <si>
    <t>Filtration Systems</t>
  </si>
  <si>
    <t>12754</t>
  </si>
  <si>
    <t>4602503000000445755</t>
  </si>
  <si>
    <t>KINETICO Drinking Water Filter with MacguardÃ¢â€žÂ¢ - Model 7500 (Lead/ VOC/Cyst)</t>
  </si>
  <si>
    <t>4050A</t>
  </si>
  <si>
    <t>4602503000000158057</t>
  </si>
  <si>
    <t>KINETICO FC-550 DRINKING WATER STATION</t>
  </si>
  <si>
    <t>100-1000</t>
  </si>
  <si>
    <t>4602503000000446987</t>
  </si>
  <si>
    <t>KINETICO Faucet, Economy Chrome Drinking</t>
  </si>
  <si>
    <t>S11450B</t>
  </si>
  <si>
    <t>KINETICO K5 Core</t>
  </si>
  <si>
    <t>12799</t>
  </si>
  <si>
    <t>KINETICO MACH 2060f OD with Activated Carbon</t>
  </si>
  <si>
    <t>11207</t>
  </si>
  <si>
    <t>KINETICO MACH 2060s OD 18 x 35 Brine Drum</t>
  </si>
  <si>
    <t>11201</t>
  </si>
  <si>
    <t>4602503000000097500</t>
  </si>
  <si>
    <t>KINETICO MACH CP213f OD with Activated Carbon</t>
  </si>
  <si>
    <t>11244A</t>
  </si>
  <si>
    <t>KINETICO MACH CP213f OD with Macrolite</t>
  </si>
  <si>
    <t>11246</t>
  </si>
  <si>
    <t>4602503000000445513</t>
  </si>
  <si>
    <t>KINETICO MACH CP213s OD 24 x 40 Brine Drum</t>
  </si>
  <si>
    <t>11180A</t>
  </si>
  <si>
    <t>4602503000021500020</t>
  </si>
  <si>
    <t>KINETICO MACH CP216s OD 24 x 40 Brine Drum</t>
  </si>
  <si>
    <t>11182A</t>
  </si>
  <si>
    <t>KINETICO MACH Prefilter 10Ã¢â‚¬Â NORYL (Indoor) 5Micron</t>
  </si>
  <si>
    <t>11825</t>
  </si>
  <si>
    <t>KINETICO MACH Prefilter 16Ã¢â‚¬Â NORYL (Indoor) 5Micron</t>
  </si>
  <si>
    <t>11826</t>
  </si>
  <si>
    <t>KINETICO POU - PREMIER COMPACT WATER SOFTENER</t>
  </si>
  <si>
    <t>16145</t>
  </si>
  <si>
    <t>4602503000000446481</t>
  </si>
  <si>
    <t>KINETICO POU - PREMIER UF FILTER</t>
  </si>
  <si>
    <t>100-500-INT</t>
  </si>
  <si>
    <t>KINETICO PREMIER SERIES MACH 4060F OD, MACROLITE/ACTIVATED CARBON</t>
  </si>
  <si>
    <t>11232</t>
  </si>
  <si>
    <t>KINETICO PREMIER SERIES MACH 4060S OD, MACROLITE</t>
  </si>
  <si>
    <t>11223</t>
  </si>
  <si>
    <t>4602503000000097192</t>
  </si>
  <si>
    <t>KINETICO PREMIER SERIESÃ‚Â® MACH 2100F OD, MACROLITEÃ‚Â®</t>
  </si>
  <si>
    <t>11146A</t>
  </si>
  <si>
    <t>Kinetico Faucet Classic Chrome</t>
  </si>
  <si>
    <t>12725</t>
  </si>
  <si>
    <t>Kinetico Premier Series MACh 2030F OD, MACrolite</t>
  </si>
  <si>
    <t>12662</t>
  </si>
  <si>
    <t>Kinetico Premier Series MACh 2060F OD, MACrolite</t>
  </si>
  <si>
    <t>11211</t>
  </si>
  <si>
    <t>4602503000000445898</t>
  </si>
  <si>
    <t>Kinetico Storage Tank Air Charge 3 Gallons</t>
  </si>
  <si>
    <t>9344B</t>
  </si>
  <si>
    <t>TANK, STORAGE TANK ASSEMBLY - 14 GALLON, A200</t>
  </si>
  <si>
    <t>104170</t>
  </si>
  <si>
    <t>4602503000021500139</t>
  </si>
  <si>
    <t>AVENTURA - TOP BOTTOM HUB &amp; LATERAL</t>
  </si>
  <si>
    <t>AV-421-63</t>
  </si>
  <si>
    <t>AVENTURA</t>
  </si>
  <si>
    <t>4602503000021500156</t>
  </si>
  <si>
    <t>AV-436-63</t>
  </si>
  <si>
    <t>4602503000021500122</t>
  </si>
  <si>
    <t>AVENTURA - TOP BOTTOM HUB &amp; LATERAL - FOR POE FILTER - 4272</t>
  </si>
  <si>
    <t>AV6F42-75L</t>
  </si>
  <si>
    <t>4602503000021500088</t>
  </si>
  <si>
    <t>AVENTURA - TOP STACK DIFFUSER -FOR POE FILTER - 2162 &amp; 3072 &amp; 3672</t>
  </si>
  <si>
    <t>AV-4R2-63</t>
  </si>
  <si>
    <t>4602503000021500105</t>
  </si>
  <si>
    <t>AVENTURA - TOP TOP HUB &amp; LATERAL -FOR POE FILTER - 4272</t>
  </si>
  <si>
    <t>AV-6F42-75U</t>
  </si>
  <si>
    <t>4602503000000622357</t>
  </si>
  <si>
    <t>AVENTURA BYPASS VALVE - M88</t>
  </si>
  <si>
    <t>T-0345</t>
  </si>
  <si>
    <t>4602503000000615565</t>
  </si>
  <si>
    <t>AVENTURA POE FILTER - 1044</t>
  </si>
  <si>
    <t>T-0247</t>
  </si>
  <si>
    <t>4602503000000615584</t>
  </si>
  <si>
    <t>AVENTURA POE FILTER - 1054</t>
  </si>
  <si>
    <t>T-0249</t>
  </si>
  <si>
    <t>4602503000021500037</t>
  </si>
  <si>
    <t>AVENTURA POE FILTER - 2162</t>
  </si>
  <si>
    <t>T-02162</t>
  </si>
  <si>
    <t>4602503000021500054</t>
  </si>
  <si>
    <t>AVENTURA POE FILTER - 2672</t>
  </si>
  <si>
    <t>T-02672</t>
  </si>
  <si>
    <t>4602503000000622571</t>
  </si>
  <si>
    <t>AVENTURA POE FILTER - 3072</t>
  </si>
  <si>
    <t>T-0348</t>
  </si>
  <si>
    <t>4602503000021500071</t>
  </si>
  <si>
    <t>AVENTURA POE FILTER - 4272</t>
  </si>
  <si>
    <t>T-04272</t>
  </si>
  <si>
    <t>4602503000000615543</t>
  </si>
  <si>
    <t>AVENTURA POE FILTER - 840</t>
  </si>
  <si>
    <t>T-0244</t>
  </si>
  <si>
    <t>4602503000000615554</t>
  </si>
  <si>
    <t>AVENTURA POE FILTER - 844</t>
  </si>
  <si>
    <t>T-0245</t>
  </si>
  <si>
    <t>4602503000000449486</t>
  </si>
  <si>
    <t>KINETICO BYPASS VALVE</t>
  </si>
  <si>
    <t>T-0271</t>
  </si>
  <si>
    <t>KINETICO DISTRIBUTOR TUBES - 7X35 UI KI, 2030</t>
  </si>
  <si>
    <t>Treatment Spares</t>
  </si>
  <si>
    <t>16810</t>
  </si>
  <si>
    <t>KINETICO DISTRIBUTOR TUBES - 8X40 UI KI, 2060</t>
  </si>
  <si>
    <t>13439</t>
  </si>
  <si>
    <t>4602503000021500241</t>
  </si>
  <si>
    <t xml:space="preserve">KINETICO FAUCET - FOR PUREFECTA </t>
  </si>
  <si>
    <t>10809P</t>
  </si>
  <si>
    <t>4602503000021500190</t>
  </si>
  <si>
    <t>KINETICO MACH 2030s OD 18 x 35 Brine Drum</t>
  </si>
  <si>
    <t>11020A</t>
  </si>
  <si>
    <t>KINETICO PUREFECTA - DRINKING WATER SYSTEM</t>
  </si>
  <si>
    <t>10644</t>
  </si>
  <si>
    <t>KINETICO SILICONE PACKET</t>
  </si>
  <si>
    <t>1452</t>
  </si>
  <si>
    <t>4602503000000447273</t>
  </si>
  <si>
    <t>KINETICO VALVE PARTS - FILTER HEAD CAP, DFFR B/W-ULTEM-WHITE</t>
  </si>
  <si>
    <t>8697B</t>
  </si>
  <si>
    <t>KINETICO VALVE PARTS - IN/OUT ADAPTER, MALE E CLIP, 1.25", GFN PLASTIC</t>
  </si>
  <si>
    <t>10739</t>
  </si>
  <si>
    <t>KINETICO VALVE PARTS - METER DISC #1</t>
  </si>
  <si>
    <t>1504</t>
  </si>
  <si>
    <t>KINETICO VALVE PARTS - METER DISC #2</t>
  </si>
  <si>
    <t>1505</t>
  </si>
  <si>
    <t>KINETICO VALVE PARTS - METER DISC #3</t>
  </si>
  <si>
    <t>1506</t>
  </si>
  <si>
    <t>KINETICO VALVE PARTS - METER DISC #4</t>
  </si>
  <si>
    <t>1507</t>
  </si>
  <si>
    <t>KINETICO VALVE PARTS - METER DISC #5</t>
  </si>
  <si>
    <t>1508</t>
  </si>
  <si>
    <t>4602503000000448549</t>
  </si>
  <si>
    <t>KINETICO, GEAR, TURBINE 10, REGEN</t>
  </si>
  <si>
    <t>1671A</t>
  </si>
  <si>
    <t>4602503000000447383</t>
  </si>
  <si>
    <t>MERU MP115 HWM - 3KW WRAPPED PTV, 3/4"</t>
  </si>
  <si>
    <t>5. Hot Water Systems</t>
  </si>
  <si>
    <t>Heaters (Solar/Elec)</t>
  </si>
  <si>
    <t>COMP-D-000121</t>
  </si>
  <si>
    <t>MERU</t>
  </si>
  <si>
    <t>4602503000013617031</t>
  </si>
  <si>
    <t>MERU MP136 HFM - 3 X 3KW SS316 WRAPPED PTV</t>
  </si>
  <si>
    <t>COMP-006077</t>
  </si>
  <si>
    <t>4602503000013726176</t>
  </si>
  <si>
    <t>MERU MP136 HWM - 3 X 3KW S316 T2MM WRAPPED PTV</t>
  </si>
  <si>
    <t>COMP-006075</t>
  </si>
  <si>
    <t>4602503000000450784</t>
  </si>
  <si>
    <t>MERU MP136 VFM - 3 X 3KW SS316 CARTON PTV</t>
  </si>
  <si>
    <t>COMP-000231-SS316-PTV-3X3KW</t>
  </si>
  <si>
    <t>4602503000000097654</t>
  </si>
  <si>
    <t>MERU MP25 HCM - 3KW WRAPED BASIC</t>
  </si>
  <si>
    <t>COMP-006200</t>
  </si>
  <si>
    <t>4602503000000097335</t>
  </si>
  <si>
    <t>MERU MP30 HCM - 3KW WRAPED BASIC</t>
  </si>
  <si>
    <t>COMP-006240</t>
  </si>
  <si>
    <t>4602503000000446239</t>
  </si>
  <si>
    <t>MERU MP34 HCM - 3KW WRAPED BASIC</t>
  </si>
  <si>
    <t>COMP-006283</t>
  </si>
  <si>
    <t>4602503000000446283</t>
  </si>
  <si>
    <t>MERU MP34 HWM-L - 3KW WRAPED BASIC</t>
  </si>
  <si>
    <t>COMP-006285</t>
  </si>
  <si>
    <t>4602503000000446272</t>
  </si>
  <si>
    <t>MERU MP34 HWM-R - 3KW WRAPED BASIC</t>
  </si>
  <si>
    <t>COMP-006284</t>
  </si>
  <si>
    <t>4602503000014895038</t>
  </si>
  <si>
    <t>MERU MP38 HCM - 3KW WRAPED BASIC</t>
  </si>
  <si>
    <t>COMP-006381</t>
  </si>
  <si>
    <t>4602503000021500275</t>
  </si>
  <si>
    <t>MERU MP38 HWM-L - 3KW WRAPED BASIC</t>
  </si>
  <si>
    <t>COMP-006389</t>
  </si>
  <si>
    <t>4602503000021500258</t>
  </si>
  <si>
    <t>MERU MP38 HWM-R - 3KW WRAPED BASIC</t>
  </si>
  <si>
    <t>COMP-006385</t>
  </si>
  <si>
    <t>4602503000000194041</t>
  </si>
  <si>
    <t>MERU MP45 HCM - 3KW WRAPED BASIC</t>
  </si>
  <si>
    <t>COMP-006412</t>
  </si>
  <si>
    <t>4602503000000446349</t>
  </si>
  <si>
    <t>MERU MP45 HWM-L WRAPPED BASIC</t>
  </si>
  <si>
    <t>COMP-006446</t>
  </si>
  <si>
    <t>4602503000000446338</t>
  </si>
  <si>
    <t>MERU MP45 HWM-R - 3KW WRAPED BASIC</t>
  </si>
  <si>
    <t>COMP-006414</t>
  </si>
  <si>
    <t>4602503000000446360</t>
  </si>
  <si>
    <t>MERU MP55 HCM - 3KW WRAPED BASIC</t>
  </si>
  <si>
    <t>COMP-006508</t>
  </si>
  <si>
    <t>4602503000011660003</t>
  </si>
  <si>
    <t>MERU MP55 HWM - 3KW WRAPED BASIC</t>
  </si>
  <si>
    <t>COMP-006512</t>
  </si>
  <si>
    <t>4602503000000448120</t>
  </si>
  <si>
    <t>MERU MP55 HWM-L - 3KW WRAPED BASIC</t>
  </si>
  <si>
    <t>COMP-006516</t>
  </si>
  <si>
    <t>4602503000015708061</t>
  </si>
  <si>
    <t>MERU MP60 HCM - 3KW WRAPED BASIC</t>
  </si>
  <si>
    <t>COMP-006556</t>
  </si>
  <si>
    <t>4602503000000446393</t>
  </si>
  <si>
    <t>MERU MP60 HWM-R - 3KW WRAPED BASIC</t>
  </si>
  <si>
    <t>COMP-006558</t>
  </si>
  <si>
    <t>4602503000004841022</t>
  </si>
  <si>
    <t>MERU MP68 HCM - 3KW WRAPPED BASIC</t>
  </si>
  <si>
    <t>COMP-006583</t>
  </si>
  <si>
    <t>4602503000000447306</t>
  </si>
  <si>
    <t>MERU MP75 HWM - 3KW WRAPED BASIC</t>
  </si>
  <si>
    <t>COMP-007186</t>
  </si>
  <si>
    <t>4602503000000447427</t>
  </si>
  <si>
    <t>MERU MP75 HWM-L - 3KW WRAPED BASIC</t>
  </si>
  <si>
    <t>COMP-007190</t>
  </si>
  <si>
    <t>4602503000000450894</t>
  </si>
  <si>
    <t>MERU MP90 HWM - 2 X 3 KW WRAPED PTV</t>
  </si>
  <si>
    <t>T-0333</t>
  </si>
  <si>
    <t>4602503000000450553</t>
  </si>
  <si>
    <t>MERU MP90 HWM-L - 9KW WRAPED BASIC</t>
  </si>
  <si>
    <t>COMP-007545</t>
  </si>
  <si>
    <t>4602503000012799039</t>
  </si>
  <si>
    <t>MERU MP90 HWM-R - 9KW WRAPED BASIC</t>
  </si>
  <si>
    <t>COMP-007433</t>
  </si>
  <si>
    <t>4602503000000448153</t>
  </si>
  <si>
    <t>SUMMER 75E HCM - 3KW WRAP BASIC</t>
  </si>
  <si>
    <t>COMP-007181</t>
  </si>
  <si>
    <t>SUMMER</t>
  </si>
  <si>
    <t>4602503000000449640</t>
  </si>
  <si>
    <t>SUMMER 90E HCM - 3KW CARTON BASIC</t>
  </si>
  <si>
    <t>COMP-007233</t>
  </si>
  <si>
    <t>4602503000013660478</t>
  </si>
  <si>
    <t>SUMMER SOLAR COLLECTOR, TITANIUM, HALF CARTON</t>
  </si>
  <si>
    <t>Solar Collectors</t>
  </si>
  <si>
    <t>COMP-008045</t>
  </si>
  <si>
    <t>4602503000000447317</t>
  </si>
  <si>
    <t>Summer Solar Collector, CX BlACk, ZnAl</t>
  </si>
  <si>
    <t>COMP-008035</t>
  </si>
  <si>
    <t>HEATING ELEMENT - ELTON</t>
  </si>
  <si>
    <t>Heating Spares</t>
  </si>
  <si>
    <t>3170525</t>
  </si>
  <si>
    <t>ELTON</t>
  </si>
  <si>
    <t>HEATING ELEMENT - JOVEN</t>
  </si>
  <si>
    <t>3401895</t>
  </si>
  <si>
    <t>JOVEN</t>
  </si>
  <si>
    <t>HEATING ELEMENT - PECOL</t>
  </si>
  <si>
    <t>3401910</t>
  </si>
  <si>
    <t>PECOL</t>
  </si>
  <si>
    <t>4602503000000615235</t>
  </si>
  <si>
    <t>HEATING ELEMENT Ã¢â‚¬â€œ 3KW EGO</t>
  </si>
  <si>
    <t>S-PART-000311</t>
  </si>
  <si>
    <t>4602503000000741075</t>
  </si>
  <si>
    <t>HEATING ELEMENT Ã¢â‚¬â€œ INCOLOY 800, RED SEALANT, 3KW/240V, L315MM, STRAIGHT</t>
  </si>
  <si>
    <t>PART-000010</t>
  </si>
  <si>
    <t>Themowatt</t>
  </si>
  <si>
    <t>4602503000000618510</t>
  </si>
  <si>
    <t>HEATING ELEMENT Ã¢â‚¬â€œ INCOLOY 800, WHITE SEALANT, 9KW/415V, L450MM, STRAIGHT</t>
  </si>
  <si>
    <t>PART-000003</t>
  </si>
  <si>
    <t>4602503000000449330</t>
  </si>
  <si>
    <t>PART KIT, 180L, DIRECT, CARTON</t>
  </si>
  <si>
    <t>System Connections</t>
  </si>
  <si>
    <t>COMP-005624</t>
  </si>
  <si>
    <t>4602503000000449363</t>
  </si>
  <si>
    <t>PARTS KIT J Ã¢â‚¬â€œ 180L / 40G, 3/4Ã¢â‚¬Â, 1 COLLECTOR, SM PACKAGING Ã¢â‚¬â€œ SOLAR: CARTON</t>
  </si>
  <si>
    <t>COMP-005620</t>
  </si>
  <si>
    <t>4602503000000446228</t>
  </si>
  <si>
    <t>PARTS KIT J Ã¢â‚¬â€œ 300L/66G, 3/4Ã¢â‚¬Â, 2 COLLECTORS, SM PACKAGING Ã¢â‚¬â€œ SOLAR: CARTON</t>
  </si>
  <si>
    <t>COMP-005622</t>
  </si>
  <si>
    <t>4602503000000446217</t>
  </si>
  <si>
    <t>PARTS KIT S Ã¢â‚¬â€œ 300L / 66G, 3/4Ã¢â‚¬Â, 2 COLLECTORS, SM PACKAGING Ã¢â‚¬â€œ SOLAR: CARTON</t>
  </si>
  <si>
    <t>COMP-005628</t>
  </si>
  <si>
    <t>4602503000000449352</t>
  </si>
  <si>
    <t>PARTS KIT S Ã¢â‚¬â€œ 450L / 100G, 3/4Ã¢â‚¬Â, 3 COLLECTORS, SM PACKAGING Ã¢â‚¬â€œ SOLAR: CARTON</t>
  </si>
  <si>
    <t>COMP-005632</t>
  </si>
  <si>
    <t>4602503000015623002</t>
  </si>
  <si>
    <t>THERMOSTAT Ã¢â‚¬â€œ 1P, 240VAC, 50HZ, 30Ã‚Â°C-75Ã‚Â°C</t>
  </si>
  <si>
    <t>RAWM-000124</t>
  </si>
  <si>
    <t>4602503000000620778</t>
  </si>
  <si>
    <t>THERMOSTAT Ã¢â‚¬â€œ ECO, 240VAC, 50HZ, 30A, 60Ã‚Â°CÃ¢â‚¬â€œ70Ã‚Â°C, 95Ã‚Â°C</t>
  </si>
  <si>
    <t>RAWM-000016</t>
  </si>
  <si>
    <t>4602503000014992012</t>
  </si>
  <si>
    <t>THERMOSTAT Ã¢â‚¬â€œ KP79, SINGLE PHASE, 2KW, 0Ã‚Â°C Ã¢â‚¬â€œ 150Ã‚Â°C</t>
  </si>
  <si>
    <t>RAWM-000195</t>
  </si>
  <si>
    <t>4602503000000449374</t>
  </si>
  <si>
    <t>SUMMER 180L SOLAR WATER HEATER TANK, INDIRECT</t>
  </si>
  <si>
    <t>COMP-005648</t>
  </si>
  <si>
    <t>4602503000004108014</t>
  </si>
  <si>
    <t>SUMMER 450L SOLAR WATER HEATER TANK</t>
  </si>
  <si>
    <t>COMP-005672</t>
  </si>
  <si>
    <t>4602503000004837171</t>
  </si>
  <si>
    <t>SUMMER SOLAR WATER HEATER TANK, 300L, GVAL</t>
  </si>
  <si>
    <t>COMP-005659</t>
  </si>
  <si>
    <t>4602503000000449319</t>
  </si>
  <si>
    <t>SUMMER SOLAR WATER HEATER TANK, 300L, INDIRECT</t>
  </si>
  <si>
    <t>COMP-005663</t>
  </si>
  <si>
    <t>4602503000004549120</t>
  </si>
  <si>
    <t>SUMMER SOLAR WATER HEATER TANK, DIRECT 180L, GVAL</t>
  </si>
  <si>
    <t>COMP-005645</t>
  </si>
  <si>
    <t>4602503000000617758</t>
  </si>
  <si>
    <t>COLLECTOR NUT - BRASS, M30</t>
  </si>
  <si>
    <t>PURC-000160</t>
  </si>
  <si>
    <t>4602503000000617659</t>
  </si>
  <si>
    <t>COLLECTOR NUT Ã¢â‚¬â€œ BRASS, 3/4Ã¢â‚¬Â, BSP</t>
  </si>
  <si>
    <t>PART-000046</t>
  </si>
  <si>
    <t>4602503000000615727</t>
  </si>
  <si>
    <t>COLLECTOR OLIVE Ã¢â‚¬â€œ BRASS, 3/4Ã¢â‚¬Â X 8MM</t>
  </si>
  <si>
    <t>PART-000047</t>
  </si>
  <si>
    <t>4602503000000622272</t>
  </si>
  <si>
    <t>COLLECTOR OLIVE Ã¢â‚¬â€œ BRASS, OD22MM X L131MM, M30</t>
  </si>
  <si>
    <t>PART-000193</t>
  </si>
  <si>
    <t>4602503000000620756</t>
  </si>
  <si>
    <t>TERMINAL BLOCK @ CONNECTOR</t>
  </si>
  <si>
    <t>RAWM-000017</t>
  </si>
  <si>
    <t>4602503000000620734</t>
  </si>
  <si>
    <t>THEOSTAT AUTO ECO, 240VAC, 50HZ, 30A, 60C 70C</t>
  </si>
  <si>
    <t>RAWM-000015</t>
  </si>
  <si>
    <t>4602503000000190085</t>
  </si>
  <si>
    <t>Cartridge Kinetico FC-550 NanofACt Cartridge</t>
  </si>
  <si>
    <t>Water: Recurring Care (Opex)</t>
  </si>
  <si>
    <t>7. Water Consumables</t>
  </si>
  <si>
    <t>Cartridges</t>
  </si>
  <si>
    <t>100-1002</t>
  </si>
  <si>
    <t>KINETICO CARTRIDGE  SELECTO QCM-350+</t>
  </si>
  <si>
    <t>16508</t>
  </si>
  <si>
    <t>4602503000000448428</t>
  </si>
  <si>
    <t>KINETICO CARTRIDGE K5 MEMBRANE GREEN</t>
  </si>
  <si>
    <t>12752B</t>
  </si>
  <si>
    <t>4602503000000448439</t>
  </si>
  <si>
    <t>KINETICO CARTRIDGE K5/A200 MAC T&amp;O (12673)</t>
  </si>
  <si>
    <t>9306B</t>
  </si>
  <si>
    <t>KINETICO CARTRIDGE SELECTO SMF IC600 10"</t>
  </si>
  <si>
    <t>16647</t>
  </si>
  <si>
    <t>KINETICO CARTRIDGE SELECTO SMF IC614 14"</t>
  </si>
  <si>
    <t>16648</t>
  </si>
  <si>
    <t>KINETICO CARTRIDGE TF75 MEMBRANE</t>
  </si>
  <si>
    <t>10501</t>
  </si>
  <si>
    <t>4602503000000190074</t>
  </si>
  <si>
    <t>KINETICO Carbon Cartridge 8Ã¢â‚¬Â FC-550</t>
  </si>
  <si>
    <t>100-1001</t>
  </si>
  <si>
    <t>4602503000000446690</t>
  </si>
  <si>
    <t>KINETICO MACH Prefilter Cartridge 10Ã¢â‚¬Â 5Micron Reusable</t>
  </si>
  <si>
    <t>11827A</t>
  </si>
  <si>
    <t>4602503000000446723</t>
  </si>
  <si>
    <t>KINETICO MACH Prefilter Cartridge 16Ã¢â‚¬Â 5Micron Reusable</t>
  </si>
  <si>
    <t>11829A</t>
  </si>
  <si>
    <t>4602503000000448450</t>
  </si>
  <si>
    <t>KINETICO Macguard Replacement Cartridge Ã¢â‚¬â€œ VOC/LEAD  (9418A)</t>
  </si>
  <si>
    <t>9308A</t>
  </si>
  <si>
    <t>4602503000000448461</t>
  </si>
  <si>
    <t>KINETICO Membrane Cartridge for Model K2/A200</t>
  </si>
  <si>
    <t>9428A</t>
  </si>
  <si>
    <t>KINETICO Mineral Plus Replacement Cartridge</t>
  </si>
  <si>
    <t>13041</t>
  </si>
  <si>
    <t>KINETICO Perchlorate Guard Replacement Cartridge</t>
  </si>
  <si>
    <t>11682</t>
  </si>
  <si>
    <t>4602503000000448219</t>
  </si>
  <si>
    <t>KINETICO Prefilter Replacement Cartridge Ã¢â‚¬â€œ High Cap Carbon</t>
  </si>
  <si>
    <t>9461A</t>
  </si>
  <si>
    <t>4602503000000446965</t>
  </si>
  <si>
    <t>KINETICO Purefecta/Virus Guard Replacement Cartridge  (12874B)</t>
  </si>
  <si>
    <t>12873B</t>
  </si>
  <si>
    <t>KINETICO VOC Guard Replacement Cartridge</t>
  </si>
  <si>
    <t>12778</t>
  </si>
  <si>
    <t>KINETICO MEDIA DURACUBE SALT - RTL, 25kg</t>
  </si>
  <si>
    <t>Filtration Media</t>
  </si>
  <si>
    <t>5408</t>
  </si>
  <si>
    <t>KINETICO MEDIA MACROLITE RX, 1 ft</t>
  </si>
  <si>
    <t>16019</t>
  </si>
  <si>
    <t>KINETICO MEDIA, RESIN</t>
  </si>
  <si>
    <t>13672</t>
  </si>
  <si>
    <t>4602503000021500224</t>
  </si>
  <si>
    <t>KINETICO SALT 4LB BLOCK 9/CA</t>
  </si>
  <si>
    <t>12035A</t>
  </si>
  <si>
    <t>4602503000000622554</t>
  </si>
  <si>
    <t>COCONUT SHELL BASE ACTIVATED CARBON</t>
  </si>
  <si>
    <t>VE-SORB</t>
  </si>
  <si>
    <t>4602503000000618120</t>
  </si>
  <si>
    <t>SEAL TAPE - TEFLON PTFE</t>
  </si>
  <si>
    <t>Water: Infrastructure</t>
  </si>
  <si>
    <t>9. Consumables</t>
  </si>
  <si>
    <t>Adhesives &amp; Tapes</t>
  </si>
  <si>
    <t>T-0257</t>
  </si>
  <si>
    <t>4602503000000097665</t>
  </si>
  <si>
    <t>PRESSURE TEMPERATURE VALVE Ã¢â‚¬â€œ 700KPA, 10KW, 1/2Ã¢â‚¬Â</t>
  </si>
  <si>
    <t>PART-000050</t>
  </si>
  <si>
    <t>4602503000000620650</t>
  </si>
  <si>
    <t>PRESSURE TEMPERATURE VALVE Ã¢â‚¬â€œ 850KPA, 10KW, 1/2Ã¢â‚¬Â</t>
  </si>
  <si>
    <t>PART-000186</t>
  </si>
  <si>
    <t>4602503000000618190</t>
  </si>
  <si>
    <t>BALL COCK 15MM</t>
  </si>
  <si>
    <t>11. Mechanical Infra</t>
  </si>
  <si>
    <t>Valves</t>
  </si>
  <si>
    <t>T-0004</t>
  </si>
  <si>
    <t>4602503000000618831</t>
  </si>
  <si>
    <t>BALL COCK 22MM</t>
  </si>
  <si>
    <t>T-0052</t>
  </si>
  <si>
    <t>4602503000000619590</t>
  </si>
  <si>
    <t>BRASS SOCKET 1/2"</t>
  </si>
  <si>
    <t>SS/Copper System</t>
  </si>
  <si>
    <t>T-0121</t>
  </si>
  <si>
    <t>4602503000000615330</t>
  </si>
  <si>
    <t>CHECK VALVE Ã¢â‚¬â€œ 1/2'', BSP</t>
  </si>
  <si>
    <t>PART-000045</t>
  </si>
  <si>
    <t>4602503000011958075</t>
  </si>
  <si>
    <t>COLD EXPANSION VALVE Ã¢â‚¬â€œ 700KPA X 1/2Ã¢â‚¬Â, BSP, FARIS</t>
  </si>
  <si>
    <t>PURC-000191</t>
  </si>
  <si>
    <t>4602503000000619568</t>
  </si>
  <si>
    <t>ELBOW BRASS 1/2"</t>
  </si>
  <si>
    <t>T-0119</t>
  </si>
  <si>
    <t>4602503000000619579</t>
  </si>
  <si>
    <t>ELBOW BRASS 3/4"</t>
  </si>
  <si>
    <t>T-0120</t>
  </si>
  <si>
    <t>4602503000000616347</t>
  </si>
  <si>
    <t>PIPE - SS304, OD15MM X T0.6M</t>
  </si>
  <si>
    <t>T-0218</t>
  </si>
  <si>
    <t>4602503000000616358</t>
  </si>
  <si>
    <t>PIPE - SS304, OD20MM X T0.6MM</t>
  </si>
  <si>
    <t>T-0219</t>
  </si>
  <si>
    <t>4602503000000615661</t>
  </si>
  <si>
    <t>PPR SOCKET 25MM / 3/4"</t>
  </si>
  <si>
    <t>PPR System</t>
  </si>
  <si>
    <t>T-0013</t>
  </si>
  <si>
    <t>4602503000000621390</t>
  </si>
  <si>
    <t>PRESSURE REDUCING VALVE, 1~6 BAR, BRASS 1/2"</t>
  </si>
  <si>
    <t>T-0287</t>
  </si>
  <si>
    <t>4602503000000619678</t>
  </si>
  <si>
    <t>SOCKET BRASS 3/4"</t>
  </si>
  <si>
    <t>T-0126</t>
  </si>
  <si>
    <t>4602503000000615650</t>
  </si>
  <si>
    <t>SOCKET PPR 20MM / 1/2"</t>
  </si>
  <si>
    <t>T-0012</t>
  </si>
  <si>
    <t>4602503000000619018</t>
  </si>
  <si>
    <t>SS REDUCING NIPPLE 3/4'' X 1/2''</t>
  </si>
  <si>
    <t>PART-000060</t>
  </si>
  <si>
    <t>4602503000000619414</t>
  </si>
  <si>
    <t>SS TEE CONNECTION 1/2''</t>
  </si>
  <si>
    <t>PART-000061</t>
  </si>
  <si>
    <t>4602503000000615683</t>
  </si>
  <si>
    <t>TEE BRASS ADAPTER - 1/2'' X 1/2'' X 3/4''</t>
  </si>
  <si>
    <t>PART-000044</t>
  </si>
  <si>
    <t>4602503000000620283</t>
  </si>
  <si>
    <t>THREADED FEMALE ELBOW BRASS 1/2''</t>
  </si>
  <si>
    <t>T-0191</t>
  </si>
  <si>
    <t>4602503000000619601</t>
  </si>
  <si>
    <t>THREADED FEMALE ELBOW BRASS 3/4"</t>
  </si>
  <si>
    <t>T-0122</t>
  </si>
  <si>
    <t>4602503000000619700</t>
  </si>
  <si>
    <t>THREADED FEMALE SOCKET BRASS 1/2"</t>
  </si>
  <si>
    <t>T-0128</t>
  </si>
  <si>
    <t>4602503000000619667</t>
  </si>
  <si>
    <t>THREADED FEMALE SOCKET BRASS 3/4"</t>
  </si>
  <si>
    <t>PURC-000159</t>
  </si>
  <si>
    <t>THREADED MALE ELBOW BRASS 1/2"</t>
  </si>
  <si>
    <t>T-0124</t>
  </si>
  <si>
    <t>THREADED MALE ELBOW BRASS 3/4"</t>
  </si>
  <si>
    <t>T-0129</t>
  </si>
  <si>
    <t>THREADED MALE SOCKET BRASS 1/2"</t>
  </si>
  <si>
    <t>PART-000111F</t>
  </si>
  <si>
    <t>THREADED MALE SOCKET BRASS WITH COUNTER LOCK 3/4"</t>
  </si>
  <si>
    <t>T-0145</t>
  </si>
  <si>
    <t>THREADED MALE SOCKET PPR 1/2"</t>
  </si>
  <si>
    <t>T-0275</t>
  </si>
  <si>
    <t>THREADED MALE SOCKET PPR 3/4"</t>
  </si>
  <si>
    <t>T-0010</t>
  </si>
  <si>
    <t>4602503000000616492</t>
  </si>
  <si>
    <t>HOSE - PLASTIC, 10MM X 1.75MM X 30M</t>
  </si>
  <si>
    <t>10. Tools &amp; PPE</t>
  </si>
  <si>
    <t>T-0230</t>
  </si>
  <si>
    <t>4602503000000621148</t>
  </si>
  <si>
    <t>MULTISTAGE PUMP Ã¢â‚¬â€œ 0.37KW, 2900RPM, 415V, 3PH, 50HZ, HORIZONTAL</t>
  </si>
  <si>
    <t>Pumps &amp; Boosters</t>
  </si>
  <si>
    <t>PART-000111</t>
  </si>
  <si>
    <t>4602503000000621056</t>
  </si>
  <si>
    <t>PORTABLE GAS - REFRIGERANT GAS - R134A, 30LBS</t>
  </si>
  <si>
    <t>Water: Commercial (C&amp;I)</t>
  </si>
  <si>
    <t>Industrial Chemicals</t>
  </si>
  <si>
    <t>CSMB-000290</t>
  </si>
  <si>
    <t>4602503000014250121</t>
  </si>
  <si>
    <t>REFRIGERATION LUBRICANT Ã¢â‚¬â€œ SYNTHETIC POLYESTER, RL 68H, 5L</t>
  </si>
  <si>
    <t>CSMB-000217</t>
  </si>
  <si>
    <t>4602503000014250104</t>
  </si>
  <si>
    <t>SIGHT GLASS SOLDER Ã¢â‚¬â€œ 1/2Ã¢â‚¬Â, 014L0183 SGP-12SN, -50Ã‚Â°C Ã¢â‚¬â€œ 80Ã‚Â°C, 35KPA</t>
  </si>
  <si>
    <t>PART-000170</t>
  </si>
  <si>
    <t>4602503000014250087</t>
  </si>
  <si>
    <t>SIGHT GLASS SOLDER Ã¢â‚¬â€œ 5/8Ã¢â‚¬Â, 014L0184 SGP-16SN, -50Ã‚Â°C Ã¢â‚¬â€œ 80Ã‚Â°C, 35KPA</t>
  </si>
  <si>
    <t>PART-000123</t>
  </si>
  <si>
    <t>4602503000000446514</t>
  </si>
  <si>
    <t>KINETICO COMMERCIAL POE HYDRUS SOFTENER - HS 121S, OD, MULTIPLEX</t>
  </si>
  <si>
    <t>H12246</t>
  </si>
  <si>
    <t>KINETICO EXTERNAL POWER SUPPLY, 120-240V 50/60HZ X 12VDC, UK PLUG</t>
  </si>
  <si>
    <t>12130</t>
  </si>
  <si>
    <t>4602503000000446800</t>
  </si>
  <si>
    <t>KINETICO HYDRUS VALVE PARTS - COMPLETE HEAD MULTI-TANK</t>
  </si>
  <si>
    <t>H12180</t>
  </si>
  <si>
    <t>4602503000000446789</t>
  </si>
  <si>
    <t>KINETICO HYDRUS VALVE PARTS - COMPLETE HEAD VALVE SIMPLEX</t>
  </si>
  <si>
    <t>H12184</t>
  </si>
  <si>
    <t>KINETICO MACH CP208s OD 24 x 40 Brine Drum</t>
  </si>
  <si>
    <t>11701</t>
  </si>
  <si>
    <t>KINETICO MACH CP213f  - EMPTY</t>
  </si>
  <si>
    <t>11289</t>
  </si>
  <si>
    <t>KINETICO SELECTO SMF IC600</t>
  </si>
  <si>
    <t>16645</t>
  </si>
  <si>
    <t>KINETICO SELECTO SMF IC614</t>
  </si>
  <si>
    <t>16646</t>
  </si>
  <si>
    <t>KINETICO SMART START - TIMER CIRCUIT, LVL 1 W/COATING</t>
  </si>
  <si>
    <t>12142</t>
  </si>
  <si>
    <t>KINETICO SMART START CONTROLLER BASE</t>
  </si>
  <si>
    <t>12691</t>
  </si>
  <si>
    <t>Kinetico Selecto QCM350+</t>
  </si>
  <si>
    <t>16507</t>
  </si>
  <si>
    <t>VALVES Ã¢â‚¬â€œ V06 1" - 1/2", 8168031</t>
  </si>
  <si>
    <t>PART-000220</t>
  </si>
  <si>
    <t>4602503000021500360</t>
  </si>
  <si>
    <t>KINETICO HYDRUS MEDIA TANK - MPLEX   21" X 62", MACROLITE, HF 121M</t>
  </si>
  <si>
    <t>H12279</t>
  </si>
  <si>
    <t>4602503000021500309</t>
  </si>
  <si>
    <t>KINETICO HYDRUS MEDIA TANK - MPLEX   36" X 72", MACROLITE, HF 136E</t>
  </si>
  <si>
    <t>H12292</t>
  </si>
  <si>
    <t>4602503000021500343</t>
  </si>
  <si>
    <t>KINETICO HYDRUS MEDIA TANK - MPLEX   36" X 72", MACROLITE, HF 136M</t>
  </si>
  <si>
    <t>H12282</t>
  </si>
  <si>
    <t>4602503000021500326</t>
  </si>
  <si>
    <t>KINETICO HYDRUS MEDIA TANK - MPLEX   42" X 72", MACROLITE, HF 142E</t>
  </si>
  <si>
    <t>H12335</t>
  </si>
  <si>
    <t>4602503000021500292</t>
  </si>
  <si>
    <t>KINETICO HYDRUS MEDIA TANK - MPLEX  30" X 72", MACROLITE, HF 130E</t>
  </si>
  <si>
    <t>H12211</t>
  </si>
  <si>
    <t>4602503000021500377</t>
  </si>
  <si>
    <t>KINETICO HYDRUS MEDIA TANK - MPLEX 18" X 65", MACROLITE, HF 118M</t>
  </si>
  <si>
    <t>H12278</t>
  </si>
  <si>
    <t>4602503000000450751</t>
  </si>
  <si>
    <t>KINETICO HYDRUS MEDIA TANK - MULTIPLEX MEDIA TANK 24" X 65", MACROLITE, HF 124M</t>
  </si>
  <si>
    <t>H12280</t>
  </si>
  <si>
    <t>4602503000000450476</t>
  </si>
  <si>
    <t>KINETICO HYDRUS MEDIA TANK - MULTIPLEX MEDIA TANK 30" X 72", MACROLITE, HF 130M</t>
  </si>
  <si>
    <t>H12281</t>
  </si>
  <si>
    <t>4602503000021500394</t>
  </si>
  <si>
    <t>KINETICO HYDRUS MEDIA TANK - SIMPLEX 21" X 62", MACROLITE, HF 121M</t>
  </si>
  <si>
    <t>H12274</t>
  </si>
  <si>
    <t>4602503000000617681</t>
  </si>
  <si>
    <t>GASKET HEATING ELEMENT BLACK, RUBBER, T11MM X W64MM X L64MM</t>
  </si>
  <si>
    <t>PART-000011</t>
  </si>
  <si>
    <t>4602503000019543278</t>
  </si>
  <si>
    <t>ORIFICE CAGE THERMOSTATIC EXPANSION VALVE 5 #02</t>
  </si>
  <si>
    <t>PART-000162</t>
  </si>
  <si>
    <t>4602503000000620745</t>
  </si>
  <si>
    <t>THERMOSTAT Ã¢â‚¬â€œ 3P, 415VAC, 50HZ, 30Ã‚Â°C-75Ã‚Â°C</t>
  </si>
  <si>
    <t>RAWM-000028</t>
  </si>
  <si>
    <t>4602503000000617126</t>
  </si>
  <si>
    <t>MAIN PC BOARD FOR MINI HEAT PUMP (APPLICABLE MODEL: 010602020101)</t>
  </si>
  <si>
    <t>CO-HF-13</t>
  </si>
  <si>
    <t>4602503000019858018</t>
  </si>
  <si>
    <t>BRASS FLARE NUT - 1/2"</t>
  </si>
  <si>
    <t>PART-000181</t>
  </si>
  <si>
    <t>4602503000019858001</t>
  </si>
  <si>
    <t>BRASS FLARE NUT - 5/8"</t>
  </si>
  <si>
    <t>PART-000089</t>
  </si>
  <si>
    <t>4602503000014250070</t>
  </si>
  <si>
    <t>CAPILLARY TUBE -1/4" C/W NUTS</t>
  </si>
  <si>
    <t>PART-000088</t>
  </si>
  <si>
    <t>4602503000000622533</t>
  </si>
  <si>
    <t>COMPRESSOR OIL - 4L</t>
  </si>
  <si>
    <t>SL68</t>
  </si>
  <si>
    <t>4602503000000621067</t>
  </si>
  <si>
    <t>DUAL PRESSURE CONTROLLER Ã¢â‚¬â€œ KP15 060-126491</t>
  </si>
  <si>
    <t>PART-000101</t>
  </si>
  <si>
    <t>4602503000000621084</t>
  </si>
  <si>
    <t>FILTER DRIER Ã¢â‚¬â€œ 1/2" DML-164 (FLARE), 023Z5044</t>
  </si>
  <si>
    <t>PART-000161</t>
  </si>
  <si>
    <t>FILTER DRIER Ã¢â‚¬â€œ 5/8Ã¢â‚¬Â DML-305 (FLARE), 023Z0051, DML ELIMINATOR, POE, -40Ã‚Â°C Ã¢â‚¬â€œ 70Ã‚Â°C</t>
  </si>
  <si>
    <t>PART-000103</t>
  </si>
  <si>
    <t>4602503000012969064</t>
  </si>
  <si>
    <t>PRESSURE GAUGE Ã¢â‚¬â€œ HIGH, 2-1/2" DIAL MR-305</t>
  </si>
  <si>
    <t>PART-000116</t>
  </si>
  <si>
    <t>4602503000013964207</t>
  </si>
  <si>
    <t>PRESSURE GAUGE Ã¢â‚¬â€œ LOW, 2-1/2" DIAL MR-205</t>
  </si>
  <si>
    <t>PART-000117</t>
  </si>
  <si>
    <t>4602503000000621126</t>
  </si>
  <si>
    <t>SOLENOID VALVE COIL Ã¢â‚¬â€œ 240V</t>
  </si>
  <si>
    <t>PART-000124</t>
  </si>
  <si>
    <t>4602503000014250155</t>
  </si>
  <si>
    <t>SOLENOID VALVE SOLDER -5/8", EVR 15 NC, 032L-1228</t>
  </si>
  <si>
    <t>PART-000172</t>
  </si>
  <si>
    <t>4602503000019658437</t>
  </si>
  <si>
    <t>SOLENOID VALVE SOLDER Ã¢â‚¬â€œ 1/2Ã¢â‚¬Â, EVR 6 NC, 032L1209</t>
  </si>
  <si>
    <t>PART-000171</t>
  </si>
  <si>
    <t>4602503000014250138</t>
  </si>
  <si>
    <t>SOLENOID VALVE SOLDER Ã¢â‚¬â€œ 5/8Ã¢â‚¬Â, EVR 10 NC, 032L1214</t>
  </si>
  <si>
    <t>PART-000125</t>
  </si>
  <si>
    <t>4602503000000616280</t>
  </si>
  <si>
    <t>SOLENOID,BI-STABLE,6VDC</t>
  </si>
  <si>
    <t>12104A</t>
  </si>
  <si>
    <t>4602503000000617769</t>
  </si>
  <si>
    <t>THERMAL LIMITER Ã¢â‚¬â€œ 3P, 415VAC, 50HZ, 82Ã‚Â°C</t>
  </si>
  <si>
    <t>PART-000004</t>
  </si>
  <si>
    <t>For LB-15S-G2/20S-G2 Ã¯Â¼Ë†Mandatory AccessoriesÃ¯Â¼â€°</t>
  </si>
  <si>
    <t>Solar: Residential (B2C)</t>
  </si>
  <si>
    <t>2. Energy Storage</t>
  </si>
  <si>
    <t>Home Battery</t>
  </si>
  <si>
    <t>Hoymiles</t>
  </si>
  <si>
    <t>4602503000016356134</t>
  </si>
  <si>
    <t>HOYMILES SOLAR PV LV BATTERY 16KWH</t>
  </si>
  <si>
    <t>LB-16D-G2</t>
  </si>
  <si>
    <t>4602503000016138259</t>
  </si>
  <si>
    <t>HOYMILES SOLAR PV LV BATTERY 5KWH</t>
  </si>
  <si>
    <t>LB-5D-G2</t>
  </si>
  <si>
    <t>4602503000003410069</t>
  </si>
  <si>
    <t>AP SYSTEM BUS CABLE 5 WIRE T-CONN CAP</t>
  </si>
  <si>
    <t>1. Inverters</t>
  </si>
  <si>
    <t>Micro Inverter</t>
  </si>
  <si>
    <t>SKU-APBTC-01</t>
  </si>
  <si>
    <t>Apsystem</t>
  </si>
  <si>
    <t>4602503000003410060</t>
  </si>
  <si>
    <t>AP SYSTEM BUS CABLE 5C END CAP (TWO SEALS)</t>
  </si>
  <si>
    <t>SKU-APBC-03</t>
  </si>
  <si>
    <t>4602503000012251982</t>
  </si>
  <si>
    <t>APSYSTEMS MICRO INVERTER DS3 960 W 1P2P</t>
  </si>
  <si>
    <t>DS3-H</t>
  </si>
  <si>
    <t>4602503000012297017</t>
  </si>
  <si>
    <t>APSYSTEMS MICRO INVERTER DS3D 2 kW 4 PANEL 1 PHASE</t>
  </si>
  <si>
    <t>DS3D-H</t>
  </si>
  <si>
    <t>4602503000012297032</t>
  </si>
  <si>
    <t>APSYSTEMS MICRO INVERTER QT2 2 kW 3P4P</t>
  </si>
  <si>
    <t>QT2</t>
  </si>
  <si>
    <t>4602503000012297051</t>
  </si>
  <si>
    <t>APSYSTEMS MICRO INVERTER QT2D 3.6 kW 3P8P</t>
  </si>
  <si>
    <t>QT2D-H</t>
  </si>
  <si>
    <t>4602503000002944067</t>
  </si>
  <si>
    <t>APSYSTEMS Y3 Bus Cable</t>
  </si>
  <si>
    <t>APW-01</t>
  </si>
  <si>
    <t>4602503000018906477</t>
  </si>
  <si>
    <t>APsystem Energy Communication Unit C</t>
  </si>
  <si>
    <t>ECU-C</t>
  </si>
  <si>
    <t>4602503000006823089</t>
  </si>
  <si>
    <t>APsystems AC Connector (5C 40A, female)</t>
  </si>
  <si>
    <t>AP-AC-5C40AF</t>
  </si>
  <si>
    <t>4602503000003410106</t>
  </si>
  <si>
    <t>APsystems AC Connector (5C,40A,male)</t>
  </si>
  <si>
    <t>SKU-APAC-01</t>
  </si>
  <si>
    <t>4602503000002944107</t>
  </si>
  <si>
    <t>APsystems Energy Communication Unit R</t>
  </si>
  <si>
    <t>ECU-R</t>
  </si>
  <si>
    <t>4602503000002944116</t>
  </si>
  <si>
    <t>APsystems HYBRID MICROINVERTER 1.2 kW 1 PHASE</t>
  </si>
  <si>
    <t>EZHI</t>
  </si>
  <si>
    <t>4602503000003014005</t>
  </si>
  <si>
    <t>APsystems OFF GIRD MICROINVERTER 2 kW</t>
  </si>
  <si>
    <t>EZ1D-H-1</t>
  </si>
  <si>
    <t>4602503000002944085</t>
  </si>
  <si>
    <t>Bus Cable Y-Conn Cap</t>
  </si>
  <si>
    <t>APBCYC-01</t>
  </si>
  <si>
    <t>DDSU666New-Via-CT-100A-Hmicro</t>
  </si>
  <si>
    <t>DTSU666New-Via-CT-3*100A-Hmicro</t>
  </si>
  <si>
    <t>Y Bus Cable Unlock Tool</t>
  </si>
  <si>
    <t>APCUT-01</t>
  </si>
  <si>
    <t>4602503000010397115</t>
  </si>
  <si>
    <t>GROWATT 10KW 3P 2MPPT BATTERY READY S.INVERTER</t>
  </si>
  <si>
    <t>String Inverter</t>
  </si>
  <si>
    <t>MOD10KTL3-XH</t>
  </si>
  <si>
    <t>Growatt</t>
  </si>
  <si>
    <t>4602503000010397013</t>
  </si>
  <si>
    <t>GROWATT 4.2KW 1P 2MPPT BATTERY READY S.INVERTER</t>
  </si>
  <si>
    <t>MIN4200TL-XH2</t>
  </si>
  <si>
    <t>GROWATT 4KW 3P 2MPPT BATTERY READY S.INVERTER</t>
  </si>
  <si>
    <t>MOD4200TL3-XH</t>
  </si>
  <si>
    <t>4602503000010397085</t>
  </si>
  <si>
    <t>GROWATT 6KW 3P 2MPPT BATTERY READY S.INVERTER</t>
  </si>
  <si>
    <t>MOD6000TL3-XH</t>
  </si>
  <si>
    <t>4602503000010628016</t>
  </si>
  <si>
    <t>Growatt 10kW 3P 2MPPT S.Inverter</t>
  </si>
  <si>
    <t>MOD10KTL3-X2</t>
  </si>
  <si>
    <t>4602503000010397130</t>
  </si>
  <si>
    <t>Growatt 12kW 3P 2MPPT Battery Ready S.Inverter</t>
  </si>
  <si>
    <t>MOD12KTL3-XH</t>
  </si>
  <si>
    <t>4602503000010628031</t>
  </si>
  <si>
    <t>Growatt 12kW 3P 2MPPT S.Inverter</t>
  </si>
  <si>
    <t>MOD12KTL3-X2</t>
  </si>
  <si>
    <t>4602503000010397145</t>
  </si>
  <si>
    <t>Growatt 15kW 3P 2MPPT Battery Ready S.Inverter</t>
  </si>
  <si>
    <t>MOD15KTL3-X2</t>
  </si>
  <si>
    <t>4602503000015253002</t>
  </si>
  <si>
    <t>Growatt 20kW 3P 2MPPT Battery Ready S.Inverter</t>
  </si>
  <si>
    <t>MID 20KTL3-X2</t>
  </si>
  <si>
    <t>4602503000010599082</t>
  </si>
  <si>
    <t>Growatt 4.2kW 1P 2MPPT S.Inverter</t>
  </si>
  <si>
    <t>MIN4200TL-X2</t>
  </si>
  <si>
    <t>4602503000010397032</t>
  </si>
  <si>
    <t>Growatt 5kW 1P 2MPPT Battery Ready S.Inverter</t>
  </si>
  <si>
    <t>MIN5000TL-XH2</t>
  </si>
  <si>
    <t>4602503000010599097</t>
  </si>
  <si>
    <t>Growatt 5kW 1P 2MPPT S.Inverter</t>
  </si>
  <si>
    <t>MIN5000TL-X2</t>
  </si>
  <si>
    <t>4602503000010397047</t>
  </si>
  <si>
    <t>Growatt 5kW 3P 2MPPT Battery Ready S.Inverter</t>
  </si>
  <si>
    <t>MOD5000TL3-XH</t>
  </si>
  <si>
    <t>4602503000010599112</t>
  </si>
  <si>
    <t>Growatt 5kW 3P 2MPPT S.Inverter</t>
  </si>
  <si>
    <t>MOD5000TL3-X2</t>
  </si>
  <si>
    <t>4602503000010599127</t>
  </si>
  <si>
    <t>Growatt 6kW 3P 2MPPT S.Inverter</t>
  </si>
  <si>
    <t>MOD6000TL3-X2</t>
  </si>
  <si>
    <t>4602503000010397100</t>
  </si>
  <si>
    <t>Growatt 8kW 3P 2MPPT Battery Ready S.Inverter</t>
  </si>
  <si>
    <t>MOD8000TL3-XH</t>
  </si>
  <si>
    <t>4602503000010628001</t>
  </si>
  <si>
    <t>Growatt 8kW 3P 2MPPT S.Inverter</t>
  </si>
  <si>
    <t>MOD8KTL3-X2</t>
  </si>
  <si>
    <t>4602503000019750866</t>
  </si>
  <si>
    <t>HOYMILES HYBRID INVERTER 10KW 1 PHASE</t>
  </si>
  <si>
    <t>HYS-10.0LV-EUG2</t>
  </si>
  <si>
    <t>4602503000016143378</t>
  </si>
  <si>
    <t>HOYMILES HYBRID INVERTER 10KW 3-PHASE 4 MPPT</t>
  </si>
  <si>
    <t>HIT-10L-G3</t>
  </si>
  <si>
    <t>4602503000019821366</t>
  </si>
  <si>
    <t>HOYMILES HYBRID INVERTER 12KW 1 PHASE</t>
  </si>
  <si>
    <t>HYS-12.0LV-EUG2</t>
  </si>
  <si>
    <t>4602503000016163143</t>
  </si>
  <si>
    <t>HOYMILES HYBRID INVERTER 12KW 3-PHASE 4 MPPT</t>
  </si>
  <si>
    <t>HIT-12L-G3</t>
  </si>
  <si>
    <t>4602503000016927067</t>
  </si>
  <si>
    <t>HOYMILES HYBRID INVERTER 15KW 3-PHASE</t>
  </si>
  <si>
    <t>HIT-15L-G3</t>
  </si>
  <si>
    <t>4602503000019750902</t>
  </si>
  <si>
    <t>HOYMILES HYBRID INVERTER 17kWac 3PHASE</t>
  </si>
  <si>
    <t>HIT-17L-G3</t>
  </si>
  <si>
    <t>4602503000016170277</t>
  </si>
  <si>
    <t>HOYMILES HYBRID INVERTER 20KW 3-PHASE 4 MPPT</t>
  </si>
  <si>
    <t>HIT-20L-G3</t>
  </si>
  <si>
    <t>HOYMILES HYBRID INVERTER 3.6KW 1 PHASE</t>
  </si>
  <si>
    <t>HYS-3.6LV-EUG1</t>
  </si>
  <si>
    <t>HOYMILES HYBRID INVERTER 3KW 1 PHASE</t>
  </si>
  <si>
    <t>HYS-3.0LV-EUG1</t>
  </si>
  <si>
    <t>HOYMILES HYBRID INVERTER 4.6KW 1 PHASE</t>
  </si>
  <si>
    <t>HYS-4.6LV-EUG1</t>
  </si>
  <si>
    <t>4602503000017817105</t>
  </si>
  <si>
    <t>HOYMILES HYBRID INVERTER 5KW 1 PHASE</t>
  </si>
  <si>
    <t>HYS-5.0LV-EUG1</t>
  </si>
  <si>
    <t>4602503000016418006</t>
  </si>
  <si>
    <t>HOYMILES HYBRID INVERTER 5KW 3-PHASE 4 MPPT</t>
  </si>
  <si>
    <t>HIT-5L-G3</t>
  </si>
  <si>
    <t>4602503000019750760</t>
  </si>
  <si>
    <t>HOYMILES HYBRID INVERTER 6KW 1 PHASE</t>
  </si>
  <si>
    <t>HYS-6.0LV-EUG1</t>
  </si>
  <si>
    <t>4602503000019671317</t>
  </si>
  <si>
    <t>HOYMILES HYBRID INVERTER 6KW 3 PHASE</t>
  </si>
  <si>
    <t>HIT-6L-G3</t>
  </si>
  <si>
    <t>4602503000019750830</t>
  </si>
  <si>
    <t>HOYMILES HYBRID INVERTER 8KW 1 PHASE</t>
  </si>
  <si>
    <t>HYS-8.0LV-EUG2</t>
  </si>
  <si>
    <t>4602503000016158074</t>
  </si>
  <si>
    <t>HOYMILES HYBRID INVERTER 8KW 3-PHASE 3 MPPT</t>
  </si>
  <si>
    <t>HIT-8L-G3</t>
  </si>
  <si>
    <t>4602503000017680117</t>
  </si>
  <si>
    <t>HUAWEI STRING INVERTER 4KW 1 PHASE 2 MPPT</t>
  </si>
  <si>
    <t>SUN2000-4KTL-M1</t>
  </si>
  <si>
    <t>Huawei</t>
  </si>
  <si>
    <t>4602503000004956782</t>
  </si>
  <si>
    <t>Huawei String Inverter 10kW 3-Phase 2 MPPT</t>
  </si>
  <si>
    <t>SUN2000-10KTL-M1</t>
  </si>
  <si>
    <t>4602503000004956791</t>
  </si>
  <si>
    <t>Huawei String Inverter 12kW 3-Phase 2 MPPT</t>
  </si>
  <si>
    <t>SUN2000-12KTL-M5</t>
  </si>
  <si>
    <t>4602503000004844121</t>
  </si>
  <si>
    <t>Huawei String Inverter 5kW 1-Phase 2 MPPT</t>
  </si>
  <si>
    <t>SUN2000-5KTL-L1</t>
  </si>
  <si>
    <t>4602503000000203072</t>
  </si>
  <si>
    <t>SOLIS 10KW 3-PHASE DUAL MPPT STRING INVERTER</t>
  </si>
  <si>
    <t>S5-GR3P10K</t>
  </si>
  <si>
    <t>Solis</t>
  </si>
  <si>
    <t>4602503000000203083</t>
  </si>
  <si>
    <t>SOLIS 12KW 3-PHASE DUAL MPPT STRING INVERTER</t>
  </si>
  <si>
    <t>S5-GR3P12K</t>
  </si>
  <si>
    <t>4602503000000203094</t>
  </si>
  <si>
    <t>SOLIS 15KW 3-PHASE DUAL MPPT STRING INVERTER</t>
  </si>
  <si>
    <t>S5-GR3P15K</t>
  </si>
  <si>
    <t>4602503000000340115</t>
  </si>
  <si>
    <t>SOLIS 17KW 3-PHASE DUAL MPPT STRING INVERTER</t>
  </si>
  <si>
    <t>S5-GR3P17K</t>
  </si>
  <si>
    <t>SOLIS 30KW 3-PHASE 3 MPPT STRING INVERTER</t>
  </si>
  <si>
    <t xml:space="preserve">S5-GC30K </t>
  </si>
  <si>
    <t>SOLIS 33KW 3-PHASE 3 MPPT STRING INVERTER</t>
  </si>
  <si>
    <t xml:space="preserve">S5-GC33K </t>
  </si>
  <si>
    <t>SOLIS 36KW 3-PHASE 4 MPPT STRING INVERTER</t>
  </si>
  <si>
    <t xml:space="preserve">S5-GC36K </t>
  </si>
  <si>
    <t>4602503000000451695</t>
  </si>
  <si>
    <t>SOLIS 4KW 3-PHASE DUAL MPPT STRING INVERTER</t>
  </si>
  <si>
    <t>S5-GR3P4K</t>
  </si>
  <si>
    <t>4602503000000203028</t>
  </si>
  <si>
    <t>SOLIS 4KW SINGLE-PHASE DUAL MPPT STRING INVERTER</t>
  </si>
  <si>
    <t>S6-GR1P4K</t>
  </si>
  <si>
    <t>4602503000017046124</t>
  </si>
  <si>
    <t>SOLIS 5KW 3-PHASE DUAL MPPT STRING INVERTER</t>
  </si>
  <si>
    <t>S5-GR3P5K</t>
  </si>
  <si>
    <t>4602503000000203039</t>
  </si>
  <si>
    <t>SOLIS 5KW SINGLE-PHASE DUAL MPPT STRING INVERTER</t>
  </si>
  <si>
    <t>S6-GR1P5K</t>
  </si>
  <si>
    <t>4602503000000319021</t>
  </si>
  <si>
    <t>SOLIS 60KW 3-PHASE 6 MPPT STRING INVERTER</t>
  </si>
  <si>
    <t>S5-GC60K</t>
  </si>
  <si>
    <t>4602503000000203061</t>
  </si>
  <si>
    <t>SOLIS 6KW 3-PHASE DUAL MPPT STRING INVERTER</t>
  </si>
  <si>
    <t>S5-GR3P6K</t>
  </si>
  <si>
    <t>4602503000000549961</t>
  </si>
  <si>
    <t>SOLIS 80KW 3-PHASE 6 MPPT STRING INVERTER</t>
  </si>
  <si>
    <t>80k-5G-PRO</t>
  </si>
  <si>
    <t>4602503000000105022</t>
  </si>
  <si>
    <t>SOLIS 8KW 3-PHASE DUAL MPPT STRING INVERTER</t>
  </si>
  <si>
    <t>S5-GR3P8K</t>
  </si>
  <si>
    <t>4602503000000549950</t>
  </si>
  <si>
    <t>Solis 110kW 3-Phase 8 MPPT String Inverter</t>
  </si>
  <si>
    <t>110k-5G-PRO</t>
  </si>
  <si>
    <t>4602503000020239125</t>
  </si>
  <si>
    <t>Solarspace 590W Bi Facial PV Module</t>
  </si>
  <si>
    <t>Solar: Infrastructure</t>
  </si>
  <si>
    <t>4. PV Modules</t>
  </si>
  <si>
    <t>PV Panels</t>
  </si>
  <si>
    <t>SS8-72HD-590N</t>
  </si>
  <si>
    <t>Solarspace</t>
  </si>
  <si>
    <t>4602503000008753998</t>
  </si>
  <si>
    <t>Solarspace 620W N-Topcon Bi Facial PV Module</t>
  </si>
  <si>
    <t>SSA-66HD-620N</t>
  </si>
  <si>
    <t>VERTEX 615W N-TYPE PV MODULE</t>
  </si>
  <si>
    <t>TSM-NE19R</t>
  </si>
  <si>
    <t>Vartex</t>
  </si>
  <si>
    <t>4602503000000451508</t>
  </si>
  <si>
    <t>AC WIRE 6mm x 100m BLACK</t>
  </si>
  <si>
    <t>3. BOS &amp; Protection</t>
  </si>
  <si>
    <t>DC Components</t>
  </si>
  <si>
    <t>AC-WIRE-06-B</t>
  </si>
  <si>
    <t>4602503000021322968</t>
  </si>
  <si>
    <t>AC WIRE, 10mm x 100m, BLUE</t>
  </si>
  <si>
    <t>AC-WIRE-10-BL</t>
  </si>
  <si>
    <t>4602503000021141199</t>
  </si>
  <si>
    <t>AC WIRE, 10mm x 100m, GREEN</t>
  </si>
  <si>
    <t>AC-WIRE-10-G</t>
  </si>
  <si>
    <t>4602503000021322934</t>
  </si>
  <si>
    <t>AC WIRE, 10mm x 100m, RED</t>
  </si>
  <si>
    <t>AC-WIRE-10-R</t>
  </si>
  <si>
    <t>4602503000021322951</t>
  </si>
  <si>
    <t>AC WIRE, 10mm x 100m, YELLOW</t>
  </si>
  <si>
    <t>AC-WIRE-10-Y</t>
  </si>
  <si>
    <t>4602503000000451519</t>
  </si>
  <si>
    <t>AC WIRE, 10mm x 100m,BLACK</t>
  </si>
  <si>
    <t>AC-WIRE-10</t>
  </si>
  <si>
    <t>4602503000006076005</t>
  </si>
  <si>
    <t>AC WIRE, 6mm x 100m, GREEN</t>
  </si>
  <si>
    <t>AC-WIRE-6-G</t>
  </si>
  <si>
    <t>4602503000000549719</t>
  </si>
  <si>
    <t>CABLE MARKER 0</t>
  </si>
  <si>
    <t>OK-EC1,0</t>
  </si>
  <si>
    <t>4602503000000549730</t>
  </si>
  <si>
    <t>CABLE MARKER 1</t>
  </si>
  <si>
    <t>OK-EC1,1</t>
  </si>
  <si>
    <t>4602503000000549741</t>
  </si>
  <si>
    <t>CABLE MARKER 2</t>
  </si>
  <si>
    <t>OK-EC1,2</t>
  </si>
  <si>
    <t>4602503000000549752</t>
  </si>
  <si>
    <t>CABLE MARKER 3</t>
  </si>
  <si>
    <t>OK-EC1,3</t>
  </si>
  <si>
    <t>4602503000000549763</t>
  </si>
  <si>
    <t>CABLE MARKER 4</t>
  </si>
  <si>
    <t>OK-EC1,4</t>
  </si>
  <si>
    <t>4602503000000549774</t>
  </si>
  <si>
    <t>CABLE MARKER 5</t>
  </si>
  <si>
    <t>OK-EC1,5</t>
  </si>
  <si>
    <t>4602503000000549785</t>
  </si>
  <si>
    <t>CABLE MARKER 6</t>
  </si>
  <si>
    <t>OK-EC1,6</t>
  </si>
  <si>
    <t>4602503000000549796</t>
  </si>
  <si>
    <t>CABLE MARKER 7</t>
  </si>
  <si>
    <t>OK-EC1,7</t>
  </si>
  <si>
    <t>4602503000000549807</t>
  </si>
  <si>
    <t>CABLE MARKER 8</t>
  </si>
  <si>
    <t>OK-EC1,8</t>
  </si>
  <si>
    <t>4602503000000549818</t>
  </si>
  <si>
    <t>CABLE MARKER 9</t>
  </si>
  <si>
    <t>OK-EC1,9</t>
  </si>
  <si>
    <t>4602503000002116920</t>
  </si>
  <si>
    <t>CABLE MARKER N</t>
  </si>
  <si>
    <t>OK-EC1,N</t>
  </si>
  <si>
    <t>4602503000002116929</t>
  </si>
  <si>
    <t>CABLE MARKER P</t>
  </si>
  <si>
    <t>OK-EC1,P</t>
  </si>
  <si>
    <t>CABLE MARKER Y</t>
  </si>
  <si>
    <t>OK-EC1,Y</t>
  </si>
  <si>
    <t>4602503000017493001</t>
  </si>
  <si>
    <t>CABLE WIRE ROLL Ã¢â‚¬â€œ GREY, 3 CORE, 2.5MM2, 90M</t>
  </si>
  <si>
    <t>RAWM-000022</t>
  </si>
  <si>
    <t>4602503000000618131</t>
  </si>
  <si>
    <t>CONDUIT - FLEXIBLE 6/8''</t>
  </si>
  <si>
    <t>T-0260</t>
  </si>
  <si>
    <t>4602503000003336019</t>
  </si>
  <si>
    <t>DS-HO 516 #10 x 5/8</t>
  </si>
  <si>
    <t>M4.8x16</t>
  </si>
  <si>
    <t>4602503000000451596</t>
  </si>
  <si>
    <t>FLEXIBLE GI CONDUIT PVC COATED 1" X 30M</t>
  </si>
  <si>
    <t>FLX-GI-PVC-1"</t>
  </si>
  <si>
    <t>4602503000002163596</t>
  </si>
  <si>
    <t>Female Adaptor PVC 1''</t>
  </si>
  <si>
    <t>T-438</t>
  </si>
  <si>
    <t>4602503000002116893</t>
  </si>
  <si>
    <t>HDG TRUNKING 2" X 2" X L8</t>
  </si>
  <si>
    <t>CO-SD-53</t>
  </si>
  <si>
    <t>4602503000002163899</t>
  </si>
  <si>
    <t>HDG Trunking 2" X 4" X L8'</t>
  </si>
  <si>
    <t>T-472</t>
  </si>
  <si>
    <t>Hex self screw drilling #10 x 1" ( For Metal )</t>
  </si>
  <si>
    <t>HSC-#1(M)</t>
  </si>
  <si>
    <t>4602503000010012140</t>
  </si>
  <si>
    <t>Hex self screw drilling #10 x 1" ( For Wood )</t>
  </si>
  <si>
    <t>HSC-#1" (W)</t>
  </si>
  <si>
    <t>4602503000020219463</t>
  </si>
  <si>
    <t>Hex self screw drilling #12 x 1 1/2 ( For Metal )</t>
  </si>
  <si>
    <t>HSC-#11/2(M)</t>
  </si>
  <si>
    <t>4602503000010012125</t>
  </si>
  <si>
    <t>Hex self screw drilling #12 x 1 1/2 ( For Wood )</t>
  </si>
  <si>
    <t>HSC-#11/2(W)</t>
  </si>
  <si>
    <t>4602503000020219423</t>
  </si>
  <si>
    <t>Hex self screw drilling #12 x 1" ( For Wood )</t>
  </si>
  <si>
    <t>HSC-#12X1"(W)</t>
  </si>
  <si>
    <t>4602503000010012110</t>
  </si>
  <si>
    <t>Hex self screw drilling #12 x 2 ( For Wood )</t>
  </si>
  <si>
    <t>HSC-#2(W)</t>
  </si>
  <si>
    <t>4602503000020219486</t>
  </si>
  <si>
    <t>Hex self screw drilling #12 x 2" ( For Metal )</t>
  </si>
  <si>
    <t>HSC-#2(M)</t>
  </si>
  <si>
    <t>4602503000000616533</t>
  </si>
  <si>
    <t>LONG SLEEVE ANCHOR 10MM, 5/16''</t>
  </si>
  <si>
    <t>T-0256</t>
  </si>
  <si>
    <t>4602503000002764011</t>
  </si>
  <si>
    <t>PVC CASING 2" X 2" X 6FT</t>
  </si>
  <si>
    <t>T-478</t>
  </si>
  <si>
    <t>4602503000009639202</t>
  </si>
  <si>
    <t>PVC Casing 1" x  2" x  L8'</t>
  </si>
  <si>
    <t>PVCC-1"</t>
  </si>
  <si>
    <t>4602503000000616555</t>
  </si>
  <si>
    <t>PVC ELECTRICAL INSULATION TAPE, RED, 0.13MM X 18MM X 6M</t>
  </si>
  <si>
    <t>T-0002</t>
  </si>
  <si>
    <t>4602503000010370020</t>
  </si>
  <si>
    <t>PVC Wall Plug M6 x 30mm -Red</t>
  </si>
  <si>
    <t>M6x30mm</t>
  </si>
  <si>
    <t>4602503000002163805</t>
  </si>
  <si>
    <t>Pipe PVC 10FT</t>
  </si>
  <si>
    <t>T-463</t>
  </si>
  <si>
    <t>4602503000015708010</t>
  </si>
  <si>
    <t>RAPID SHUTDOWN</t>
  </si>
  <si>
    <t>HRSD-2C-B</t>
  </si>
  <si>
    <t>4602503000020042250</t>
  </si>
  <si>
    <t>SLEEVE ANCHOR 3/8 M12</t>
  </si>
  <si>
    <t>SA-3/8 M12</t>
  </si>
  <si>
    <t>4602503000000615837</t>
  </si>
  <si>
    <t>SOCKET PVC 1"</t>
  </si>
  <si>
    <t>T-0028</t>
  </si>
  <si>
    <t>4602503000000616503</t>
  </si>
  <si>
    <t>Silicon - Non Alcohol &amp; Acid(Black) (792N; Allyseal)</t>
  </si>
  <si>
    <t>T-0255</t>
  </si>
  <si>
    <t>4602503000002163783</t>
  </si>
  <si>
    <t>Sleeve Anchor M6 X 1/4 inches (8mm)</t>
  </si>
  <si>
    <t>T-461</t>
  </si>
  <si>
    <t>4602503000002117046</t>
  </si>
  <si>
    <t>TD Screw 1" ( For Metal )</t>
  </si>
  <si>
    <t>TD-HO525-M</t>
  </si>
  <si>
    <t>TD Screw 1' inch</t>
  </si>
  <si>
    <t>TD-HO525</t>
  </si>
  <si>
    <t>4602503000002117055</t>
  </si>
  <si>
    <t>TD Screw 1.5' inch</t>
  </si>
  <si>
    <t>TD-HO640</t>
  </si>
  <si>
    <t>4602503000002117064</t>
  </si>
  <si>
    <t>TD Screw 2' inch</t>
  </si>
  <si>
    <t>TD-HO650</t>
  </si>
  <si>
    <t>4602503000020219535</t>
  </si>
  <si>
    <t>Wall Plug Screw M4 x 38MM</t>
  </si>
  <si>
    <t>SC M4x38MM</t>
  </si>
  <si>
    <t>Wire Tape 5 Mil x 18mm x 5M (Black)</t>
  </si>
  <si>
    <t>T-466</t>
  </si>
  <si>
    <t>Wire Tape 5 Mil x 18mm x 5M (Blue)</t>
  </si>
  <si>
    <t>T-467</t>
  </si>
  <si>
    <t>Wire Tape 5 Mil x 18mm x 5M (Red)</t>
  </si>
  <si>
    <t>T-468</t>
  </si>
  <si>
    <t>Wire Tape 5 Mil x 18mm x 5M (Yellow)</t>
  </si>
  <si>
    <t>T-469</t>
  </si>
  <si>
    <t>4602503000000451607</t>
  </si>
  <si>
    <t>1" PVC Flex Conduit Black- 20meter</t>
  </si>
  <si>
    <t>Monitoring &amp; Comms</t>
  </si>
  <si>
    <t>FLX-PVC-1"</t>
  </si>
  <si>
    <t>4602503000002163703</t>
  </si>
  <si>
    <t>DC CABLE - Fireproof 1C x 4mm^2 (1000 meters / Drum) Black</t>
  </si>
  <si>
    <t>T-453</t>
  </si>
  <si>
    <t>1m</t>
  </si>
  <si>
    <t>4602503000000451552</t>
  </si>
  <si>
    <t>DC CABLE - Fireproof 1C x 6mm^2 (1000 meters / Drum) Black</t>
  </si>
  <si>
    <t>DC-WIRE-06</t>
  </si>
  <si>
    <t>4602503000000383234</t>
  </si>
  <si>
    <t>ENERGY METER - 1 Phase, 2P, 220V</t>
  </si>
  <si>
    <t>DDM15SD</t>
  </si>
  <si>
    <t>4602503000000383223</t>
  </si>
  <si>
    <t>ENERGY METER - 3 Phase, 4P, 3X230V/400V</t>
  </si>
  <si>
    <t>DTM024</t>
  </si>
  <si>
    <t>4602503000016961079</t>
  </si>
  <si>
    <t>HUAWEI - SMART POWER SENSOR 3-PHASE SMART METER</t>
  </si>
  <si>
    <t>SMARTPS-80AI-TO</t>
  </si>
  <si>
    <t>4602503000000383102</t>
  </si>
  <si>
    <t>SUNGROW SMART ENERGY METER 230 V AC / 400 V AC</t>
  </si>
  <si>
    <t>DTSD1352-C</t>
  </si>
  <si>
    <t>Sunglow</t>
  </si>
  <si>
    <t>4602503000002116884</t>
  </si>
  <si>
    <t>1000V 4mm^2 solar connector</t>
  </si>
  <si>
    <t>14. Services</t>
  </si>
  <si>
    <t>Labor &amp; Fees</t>
  </si>
  <si>
    <t>FMC4</t>
  </si>
  <si>
    <t>FeeO</t>
  </si>
  <si>
    <t>4602503000000549884</t>
  </si>
  <si>
    <t>AC MCB - 2P, 63A</t>
  </si>
  <si>
    <t>FE7-63-2P</t>
  </si>
  <si>
    <t>4602503000015391161</t>
  </si>
  <si>
    <t>AC MCB - 4P, 125A</t>
  </si>
  <si>
    <t>FE-125</t>
  </si>
  <si>
    <t>4602503000015379059</t>
  </si>
  <si>
    <t>AC MCB - 4P, 32A</t>
  </si>
  <si>
    <t>FE7-63-4P-32</t>
  </si>
  <si>
    <t>4602503000015379175</t>
  </si>
  <si>
    <t>AC MCB - 4P, 40A</t>
  </si>
  <si>
    <t>FE7-63-40</t>
  </si>
  <si>
    <t>4602503000015391139</t>
  </si>
  <si>
    <t>AC MCB - 4P, 50A</t>
  </si>
  <si>
    <t>FE7-63-50</t>
  </si>
  <si>
    <t>4602503000000383201</t>
  </si>
  <si>
    <t>AC MCB - 4P, 63A</t>
  </si>
  <si>
    <t>FE7-63</t>
  </si>
  <si>
    <t>4602503000006548087</t>
  </si>
  <si>
    <t>AC SPD - 2P, 275VAC, 20~40KA</t>
  </si>
  <si>
    <t>FSP-A40-275</t>
  </si>
  <si>
    <t>4602503000000383212</t>
  </si>
  <si>
    <t>AC SPD - 4P, 420VAC, 20~40KA</t>
  </si>
  <si>
    <t>FSP-A40</t>
  </si>
  <si>
    <t>4602503000000383190</t>
  </si>
  <si>
    <t>DC FUSE HOLDER - 20A 1000VDC</t>
  </si>
  <si>
    <t>FDS-32B</t>
  </si>
  <si>
    <t>4602503000000549873</t>
  </si>
  <si>
    <t>DC FUSE LINK - 20A 1000VDC</t>
  </si>
  <si>
    <t>FDS-32</t>
  </si>
  <si>
    <t>4602503000000383157</t>
  </si>
  <si>
    <t>DC MCB - 2P, 20A 800VDC</t>
  </si>
  <si>
    <t>FPV-63</t>
  </si>
  <si>
    <t>DC MCB - 2P, 63A 550VDC</t>
  </si>
  <si>
    <t>4602503000006548054</t>
  </si>
  <si>
    <t>DC MCB - 2P, 63A 800VDC</t>
  </si>
  <si>
    <t>FPV-63-800</t>
  </si>
  <si>
    <t>4602503000006548021</t>
  </si>
  <si>
    <t>DC SPD - 2P, 600VDC, 20~40KA</t>
  </si>
  <si>
    <t>FSP-D40-600</t>
  </si>
  <si>
    <t>4602503000000383179</t>
  </si>
  <si>
    <t>DC SPD - 2P, 800VDC, 20~40KA</t>
  </si>
  <si>
    <t>FSP-D40</t>
  </si>
  <si>
    <t>4602503000000549906</t>
  </si>
  <si>
    <t>DC SPD - 3P, 1000VDC, 20~40KA</t>
  </si>
  <si>
    <t>FSP-D40-3P</t>
  </si>
  <si>
    <t>4602503000000383333</t>
  </si>
  <si>
    <t>L Feet 21# with Bolt M8 x 25 and Nut</t>
  </si>
  <si>
    <t>KS-HK-L21-02</t>
  </si>
  <si>
    <t>Winstar</t>
  </si>
  <si>
    <t>4602503000000203171</t>
  </si>
  <si>
    <t>GROUNDING CLIP</t>
  </si>
  <si>
    <t>13. Mounting &amp; Structure</t>
  </si>
  <si>
    <t>Heater Mounting</t>
  </si>
  <si>
    <t>KS-BR1-GC</t>
  </si>
  <si>
    <t>4602503000004890261</t>
  </si>
  <si>
    <t>GROUNDING LUG SLR-EK-D ( AL6005-5 / SUS 304 )</t>
  </si>
  <si>
    <t>SLR-EK-D</t>
  </si>
  <si>
    <t>4602503000004890346</t>
  </si>
  <si>
    <t>T NUT WITH BOLT M8 X 25MM ( AL6005-T5 / SUS 304 )</t>
  </si>
  <si>
    <t>SLR-BN-25-D</t>
  </si>
  <si>
    <t>4602503000004890232</t>
  </si>
  <si>
    <t>END CLAMP 30MM SLR-EC-30-D ( AL6005-T5 / SUS 304 )</t>
  </si>
  <si>
    <t>Solar Mounting</t>
  </si>
  <si>
    <t>SLR-EC-30-D</t>
  </si>
  <si>
    <t>4602503000004179105</t>
  </si>
  <si>
    <t>KLIP-LOK 700 Roof Hook (L-Type)</t>
  </si>
  <si>
    <t>KL-01</t>
  </si>
  <si>
    <t>4602503000005199555</t>
  </si>
  <si>
    <t>KLIPLOCK #32 UNIVERSAL</t>
  </si>
  <si>
    <t>SLR-MRH-32-D</t>
  </si>
  <si>
    <t>4602503000004890203</t>
  </si>
  <si>
    <t>MID CLAMP 30MM SLR-MC-30-D ( AL6005-T5 / SUS 304 )</t>
  </si>
  <si>
    <t>SLR-MC-30-D</t>
  </si>
  <si>
    <t>4602503000010885279</t>
  </si>
  <si>
    <t>Rail SLR-R02-Light 2600mm</t>
  </si>
  <si>
    <t>SLR-2600mm</t>
  </si>
  <si>
    <t>4602503000004890141</t>
  </si>
  <si>
    <t>Rail SLR-R02-Light 5200MM</t>
  </si>
  <si>
    <t>SLR-R02-LIGHT</t>
  </si>
  <si>
    <t>4602503000011365138</t>
  </si>
  <si>
    <t>Rail SLR-R02-Light 6100mm</t>
  </si>
  <si>
    <t>SLR-6100mm</t>
  </si>
  <si>
    <t>4602503000004890174</t>
  </si>
  <si>
    <t>Rail Splice</t>
  </si>
  <si>
    <t>SLR-RS-01-L-D</t>
  </si>
  <si>
    <t>TILE HOOK #01-SLR-CTH-01 ( AL6005-5 / SUS 304 ) - POTRAIT</t>
  </si>
  <si>
    <t>SLR-CTH-01</t>
  </si>
  <si>
    <t>TILE HOOK #03-SLR-CTH-03 ( AL6005-T5 / SUS 304 ) - LANDSCAPE</t>
  </si>
  <si>
    <t>SLR-CTH-03</t>
  </si>
  <si>
    <t>4602503000002944076</t>
  </si>
  <si>
    <t>3/4-wire Bus Cable End Cap</t>
  </si>
  <si>
    <t>AP-WEC-01</t>
  </si>
  <si>
    <t>5C three Phase Buss Cable (4mm x 5 core) with T Connector Built</t>
  </si>
  <si>
    <t>4602503000003673056</t>
  </si>
  <si>
    <t>AC Connector (3core, two seals, female)</t>
  </si>
  <si>
    <t>SKU-APAC-03</t>
  </si>
  <si>
    <t>4602503000003673047</t>
  </si>
  <si>
    <t>AC Connector (3core, two seals, male)</t>
  </si>
  <si>
    <t>SKU-APAC-02</t>
  </si>
  <si>
    <t>4602503000016927086</t>
  </si>
  <si>
    <t>COMBINER BOX  3 ROW 45 WAYS</t>
  </si>
  <si>
    <t>Solar: Commercial (C&amp;I)</t>
  </si>
  <si>
    <t>DB-3R-45WAYS</t>
  </si>
  <si>
    <t>Commandor</t>
  </si>
  <si>
    <t>4602503000004024136</t>
  </si>
  <si>
    <t>COMBINER BOX 1 ROW 12.5 WAYS</t>
  </si>
  <si>
    <t>SKU-Box-01</t>
  </si>
  <si>
    <t>4602503000006710210</t>
  </si>
  <si>
    <t>Combiner Box 1 Row 8.5 Ways</t>
  </si>
  <si>
    <t>DB-1R-8.5WAYS</t>
  </si>
  <si>
    <t>S - Solar PV</t>
  </si>
  <si>
    <t>4602503000000451530</t>
  </si>
  <si>
    <t>Combiner box  2 row 28 - 30 ways</t>
  </si>
  <si>
    <t>DB-2R-28WAYS</t>
  </si>
  <si>
    <t>Hoy Ultra 2 / 125KW with 261kWh</t>
  </si>
  <si>
    <t>Commercial BESS</t>
  </si>
  <si>
    <t>4602503000017679152</t>
  </si>
  <si>
    <t>Huawei String Inverter 30kW 3 Phase</t>
  </si>
  <si>
    <t>Sun2000-30KTL-M3</t>
  </si>
  <si>
    <t>4602503000017681020</t>
  </si>
  <si>
    <t>Huawei String Inverter 36kW 3 Phase</t>
  </si>
  <si>
    <t>Sun2000-36KTL-M3</t>
  </si>
  <si>
    <t>4602503000000549939</t>
  </si>
  <si>
    <t>Solis 100kW 3-Phase 8 MPPT String Inverter</t>
  </si>
  <si>
    <t>100k-5G-PRO</t>
  </si>
  <si>
    <t>PV Install Surcharge: Skylift 27m Straight-Boom</t>
  </si>
  <si>
    <t>Services: Equipment Rental</t>
  </si>
  <si>
    <t>Equipment Rental</t>
  </si>
  <si>
    <t>LAB-SOL-SUR-TILE</t>
  </si>
  <si>
    <t>PV Install Surcharge: Crane</t>
  </si>
  <si>
    <t>LAB-SOL-SUR-3STY</t>
  </si>
  <si>
    <t>VO: General Man-Hour Rate (By Cell)</t>
  </si>
  <si>
    <t>Services: Labour &amp; Fees</t>
  </si>
  <si>
    <t>Labour &amp; Fees</t>
  </si>
  <si>
    <t>LAB-GEN-VO-MAN</t>
  </si>
  <si>
    <t>Upgrade: Main Distributor Board</t>
  </si>
  <si>
    <t>LAB-ELEC-MSB-UPG</t>
  </si>
  <si>
    <t>Travel: Outstation (Food/Hotel)</t>
  </si>
  <si>
    <t>LAB-GEN-MOB-OUT</t>
  </si>
  <si>
    <t>PV Install Surcharge: Pitch &gt;25 Deg</t>
  </si>
  <si>
    <t>LAB-SOL-SUR-STEEP</t>
  </si>
  <si>
    <t>PV Install Surcharge: Concrete Flat Roof</t>
  </si>
  <si>
    <t>LAB-SOL-SUR-FLAT</t>
  </si>
  <si>
    <t>Labour - PV Install 3P (6-12kWp)</t>
  </si>
  <si>
    <t>LAB-SOL-INST-3P-M</t>
  </si>
  <si>
    <t>Labour - PV Install 3P (18-24kWp)</t>
  </si>
  <si>
    <t>LAB-SOL-INST-3P-XL</t>
  </si>
  <si>
    <t>Labour - PV Install 3P (12-18kWp)</t>
  </si>
  <si>
    <t>LAB-SOL-INST-3P-L</t>
  </si>
  <si>
    <t>Labour - PV Install 1P (0-6kWp)</t>
  </si>
  <si>
    <t>LAB-SOL-INST-1P-S</t>
  </si>
  <si>
    <t>Labour - PV Commercial (&gt;24kWp)</t>
  </si>
  <si>
    <t>LAB-SOL-INST-COMM</t>
  </si>
  <si>
    <t>Install: EV Charger Point</t>
  </si>
  <si>
    <t>LAB-SOL-EV-CHARG</t>
  </si>
  <si>
    <t>Install: BESS</t>
  </si>
  <si>
    <t>LAB-SOL-BATT-RET</t>
  </si>
  <si>
    <t>Extra: DC Cable (&gt;100m)</t>
  </si>
  <si>
    <t>Extra: AC Cable (&gt;100m)</t>
  </si>
  <si>
    <t>Concrete Stump</t>
  </si>
  <si>
    <t>Extra: BESS Cable</t>
  </si>
  <si>
    <t>Item SKU</t>
  </si>
  <si>
    <t>D-IKPVKL406P-1</t>
  </si>
  <si>
    <t>D-PV Install Kit Klip-Lok 406 Portrait 1/R</t>
  </si>
  <si>
    <t>IKPVKL406L-8</t>
  </si>
  <si>
    <t>PV INSTALL KIT KLIP-LOK 406 LANDSCAPE 8/R</t>
  </si>
  <si>
    <t>D-IKPVKL700P-7</t>
  </si>
  <si>
    <t>D-PV Install Kit Klip-Lok 700 Portrait 7/R</t>
  </si>
  <si>
    <t>IKPVSL-10</t>
  </si>
  <si>
    <t>PV Install Kit Shingle Landscape 10/R</t>
  </si>
  <si>
    <t>IKPVSSP-10</t>
  </si>
  <si>
    <t>PV INSTALL KIT STANDING SEAM PORTRAIT 10/R</t>
  </si>
  <si>
    <t>D-IKPVLBP-1</t>
  </si>
  <si>
    <t>D-PV Install Kit Concrete Low Portrait 1/R</t>
  </si>
  <si>
    <t>D-IKPVE-11</t>
  </si>
  <si>
    <t>D-PV Electrical Install Kit, 1 Phase, String, 1-2 Floor</t>
  </si>
  <si>
    <t>T-514</t>
  </si>
  <si>
    <t>Stump</t>
  </si>
  <si>
    <t>D-AP-3P-2K</t>
  </si>
  <si>
    <t>D-APSYSTEMS 3P 2Acc Kit</t>
  </si>
  <si>
    <t>D-SOL-030</t>
  </si>
  <si>
    <t>D-SUMMER 400SX Solar Hot Water Complete System</t>
  </si>
  <si>
    <t>AP-1P-2K</t>
  </si>
  <si>
    <t>APSYSTEM 1P 2ACC KIT</t>
  </si>
  <si>
    <t>Testing Code 1</t>
  </si>
  <si>
    <t>Testing Kit item</t>
  </si>
  <si>
    <t>D-Stump</t>
  </si>
  <si>
    <t>IKPVKL406P-3</t>
  </si>
  <si>
    <t>PV Install Kit Klip-Lok 406 Portrait 3/R</t>
  </si>
  <si>
    <t>IKPVSP-6</t>
  </si>
  <si>
    <t>PV INSTALL KIT SHINGLE PORTRAIT 6/R</t>
  </si>
  <si>
    <t>D-PVCBHI-3</t>
  </si>
  <si>
    <t>D-PV Combiner Box, 63A, 3 Phase, Hybrid Inverter</t>
  </si>
  <si>
    <t>AP-1P-3K</t>
  </si>
  <si>
    <t>APSYSTEMS 1P 3Acc Kit</t>
  </si>
  <si>
    <t>IKPVSL-1</t>
  </si>
  <si>
    <t>PV Install Kit Shingle Landscape 1/R</t>
  </si>
  <si>
    <t>D-AP-1P-1K</t>
  </si>
  <si>
    <t>D-APSYSTEM 1P 1ACC KIT</t>
  </si>
  <si>
    <t>IKPVEHI-31-100</t>
  </si>
  <si>
    <t>PV Electrical Install Kit, 3 Phase, Hybrid, 2 MPPT, 1-2 Floor</t>
  </si>
  <si>
    <t>D-IKPVLBP-2</t>
  </si>
  <si>
    <t>D-PV Install Kit Concrete Low Portrait 2/R</t>
  </si>
  <si>
    <t>D-IKPVLBP-6</t>
  </si>
  <si>
    <t>D-PV Install Kit Concrete Low Portrait 6/R</t>
  </si>
  <si>
    <t>D-IKPVSL-3</t>
  </si>
  <si>
    <t>D-PV INSTALL KIT SHINGLE LANDSCAPE 3/R</t>
  </si>
  <si>
    <t>IKPVEHI-31-200</t>
  </si>
  <si>
    <t>PV Electrical Install Kit, 3 Phase, Hybrid, 3 MPPT, 1-2 Floor</t>
  </si>
  <si>
    <t>IKPVKL406P-6</t>
  </si>
  <si>
    <t>PV Install Kit Klip-Lok 406 Portrait 6/R</t>
  </si>
  <si>
    <t>SOL-023</t>
  </si>
  <si>
    <t>Summer 180CX Solar Hot Water Complete System</t>
  </si>
  <si>
    <t>SPVHD2025-H1P4.96</t>
  </si>
  <si>
    <t>Hoymiles Hybrid 1P Solar PV System 4.96/4.6</t>
  </si>
  <si>
    <t>SPVHD2025-H1P6.2</t>
  </si>
  <si>
    <t>Hoymiles Hybrid 1P Solar PV System 6.2/5</t>
  </si>
  <si>
    <t>SPVHD2025-H3P16.12</t>
  </si>
  <si>
    <t>Hoymiles Hybrid 3P Solar PV System 16.12/12</t>
  </si>
  <si>
    <t>SPV-S1P3.72</t>
  </si>
  <si>
    <t>Growatt String 1P Solar PV System 3.72/3</t>
  </si>
  <si>
    <t>300CVFSYS</t>
  </si>
  <si>
    <t>SUMMER 300CVF FORCED CIRCULATION SYSTEM</t>
  </si>
  <si>
    <t>TEAM</t>
  </si>
  <si>
    <t>Ratio</t>
  </si>
  <si>
    <t>Margin</t>
  </si>
  <si>
    <t>List</t>
  </si>
  <si>
    <t>Discount (Green)</t>
  </si>
  <si>
    <t>Discount (Amber)</t>
  </si>
  <si>
    <t>Discount (Red)</t>
  </si>
  <si>
    <t>Dealer</t>
  </si>
  <si>
    <t>GP (Green)</t>
  </si>
  <si>
    <t>GP (Amber)</t>
  </si>
  <si>
    <t>GP (Red)</t>
  </si>
  <si>
    <t>Dealer GP</t>
  </si>
  <si>
    <t>CONTRACT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</si>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</sst>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8" fillId="0" borderId="0" xfId="0" applyFont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aterhippos.sharepoint.com/sites/sss2-Solartech-KnowledgeBase/Operations/Product%20Updates/SKU%20Composite%20Master.xlsx" TargetMode="External"/><Relationship Id="rId1" Type="http://schemas.openxmlformats.org/officeDocument/2006/relationships/externalLinkPath" Target="SKU%20Composite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_WvOuLnf0KZnnIG-dWWPwm7P8Sig8tMt9LvvAfCSMtgnRwau9xQT7rtmXCyZmj0" itemId="01N6SC64ZU5YBTHCKIOVDKXB2SSIJRRHDT">
      <xxl21:absoluteUrl r:id="rId2"/>
    </xxl21:alternateUrls>
    <sheetNames>
      <sheetName val="PASTE_ZOHO_HERE"/>
      <sheetName val="The Composite Master"/>
    </sheetNames>
    <sheetDataSet>
      <sheetData sheetId="0">
        <row r="2">
          <cell r="A2">
            <v>4.6025030000051901E+18</v>
          </cell>
          <cell r="H2">
            <v>240</v>
          </cell>
        </row>
        <row r="3">
          <cell r="A3">
            <v>4.6025030000052398E+18</v>
          </cell>
          <cell r="H3">
            <v>1290</v>
          </cell>
        </row>
        <row r="4">
          <cell r="A4">
            <v>4.6025030000053202E+18</v>
          </cell>
          <cell r="H4">
            <v>1090</v>
          </cell>
        </row>
        <row r="5">
          <cell r="A5">
            <v>4.6025030000053601E+18</v>
          </cell>
          <cell r="H5">
            <v>1220</v>
          </cell>
        </row>
        <row r="6">
          <cell r="A6">
            <v>4.6025030000060201E+18</v>
          </cell>
          <cell r="H6">
            <v>1820</v>
          </cell>
        </row>
        <row r="7">
          <cell r="A7">
            <v>4.60250300000606E+18</v>
          </cell>
          <cell r="H7">
            <v>400</v>
          </cell>
        </row>
        <row r="8">
          <cell r="A8">
            <v>4.6025030000060698E+18</v>
          </cell>
          <cell r="H8">
            <v>10825</v>
          </cell>
        </row>
        <row r="9">
          <cell r="A9">
            <v>4.6025030000072699E+18</v>
          </cell>
          <cell r="H9">
            <v>0</v>
          </cell>
        </row>
        <row r="10">
          <cell r="A10">
            <v>4.6025030000087598E+18</v>
          </cell>
          <cell r="H10">
            <v>1000</v>
          </cell>
        </row>
        <row r="11">
          <cell r="A11">
            <v>4.6025030000096302E+18</v>
          </cell>
          <cell r="H11">
            <v>170</v>
          </cell>
        </row>
        <row r="12">
          <cell r="A12">
            <v>4.60250300001186E+18</v>
          </cell>
          <cell r="H12">
            <v>1055</v>
          </cell>
        </row>
        <row r="13">
          <cell r="A13">
            <v>4.6025030000159002E+18</v>
          </cell>
          <cell r="H13">
            <v>0</v>
          </cell>
        </row>
        <row r="14">
          <cell r="A14">
            <v>4.6025030000160901E+18</v>
          </cell>
          <cell r="H14">
            <v>0</v>
          </cell>
        </row>
        <row r="15">
          <cell r="A15">
            <v>4.6025030000161398E+18</v>
          </cell>
          <cell r="H15">
            <v>510</v>
          </cell>
        </row>
        <row r="16">
          <cell r="A16">
            <v>4.6025030000161597E+18</v>
          </cell>
          <cell r="H16">
            <v>720</v>
          </cell>
        </row>
        <row r="17">
          <cell r="A17">
            <v>4.60250300001613E+18</v>
          </cell>
          <cell r="H17">
            <v>55</v>
          </cell>
        </row>
        <row r="18">
          <cell r="A18">
            <v>4.60250300001617E+18</v>
          </cell>
          <cell r="H18">
            <v>1055</v>
          </cell>
        </row>
        <row r="19">
          <cell r="A19">
            <v>4.6025030000162002E+18</v>
          </cell>
          <cell r="H19">
            <v>200</v>
          </cell>
        </row>
        <row r="20">
          <cell r="A20">
            <v>4.6025030000179702E+18</v>
          </cell>
          <cell r="H20">
            <v>1055</v>
          </cell>
        </row>
        <row r="21">
          <cell r="A21">
            <v>4.6025030000180301E+18</v>
          </cell>
          <cell r="H21">
            <v>7575</v>
          </cell>
        </row>
        <row r="22">
          <cell r="A22">
            <v>4.6025030000180398E+18</v>
          </cell>
          <cell r="H22">
            <v>610</v>
          </cell>
        </row>
        <row r="23">
          <cell r="A23">
            <v>4.60250300001805E+18</v>
          </cell>
          <cell r="H23">
            <v>790</v>
          </cell>
        </row>
        <row r="24">
          <cell r="A24">
            <v>4.6025030000180598E+18</v>
          </cell>
          <cell r="H24">
            <v>450</v>
          </cell>
        </row>
        <row r="25">
          <cell r="A25">
            <v>4.6025030000184202E+18</v>
          </cell>
          <cell r="H25">
            <v>14075</v>
          </cell>
        </row>
        <row r="26">
          <cell r="A26">
            <v>4.6025030000185298E+18</v>
          </cell>
          <cell r="H26">
            <v>840</v>
          </cell>
        </row>
        <row r="27">
          <cell r="A27">
            <v>4.60250300001854E+18</v>
          </cell>
          <cell r="H27">
            <v>1570</v>
          </cell>
        </row>
        <row r="28">
          <cell r="A28">
            <v>4.6025030000189701E+18</v>
          </cell>
          <cell r="H28">
            <v>2200</v>
          </cell>
        </row>
        <row r="29">
          <cell r="A29">
            <v>4.6025030000190403E+18</v>
          </cell>
          <cell r="H29">
            <v>17535</v>
          </cell>
        </row>
        <row r="30">
          <cell r="A30">
            <v>4.6025030000190802E+18</v>
          </cell>
          <cell r="H30">
            <v>2200</v>
          </cell>
        </row>
        <row r="31">
          <cell r="A31">
            <v>4.6025030000197499E+18</v>
          </cell>
          <cell r="H31">
            <v>0</v>
          </cell>
        </row>
        <row r="32">
          <cell r="A32">
            <v>4.6025030000201999E+18</v>
          </cell>
          <cell r="H32">
            <v>945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1C29BD-FF4D-487A-90D1-69C6A163543F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Item ID" tableColumnId="1"/>
      <queryTableField id="2" name="Name" tableColumnId="2"/>
      <queryTableField id="3" name="Business Unit" tableColumnId="3"/>
      <queryTableField id="4" name="Category" tableColumnId="4"/>
      <queryTableField id="5" name="Sub-Category" tableColumnId="5"/>
      <queryTableField id="6" name="SKU" tableColumnId="6"/>
      <queryTableField id="7" name="Brand" tableColumnId="7"/>
      <queryTableField id="8" name="Cost Price ( MYR )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2ED3C6-D4EB-4D0A-B594-9400176F862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Item ID" tableColumnId="1"/>
      <queryTableField id="2" name="Item SKU" tableColumnId="2"/>
      <queryTableField id="3" name="Name" tableColumnId="3"/>
      <queryTableField id="4" name="Status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E2DB3-7356-4222-8E53-71E2A95F22DA}" name="Query1" displayName="Query1" ref="A1:J405" tableType="queryTable" totalsRowShown="0">
  <autoFilter ref="A1:J405" xr:uid="{9DFE2DB3-7356-4222-8E53-71E2A95F22DA}"/>
  <tableColumns count="10">
    <tableColumn id="1" xr3:uid="{B7FF6933-9B05-4200-87DA-7ACF879924C7}" uniqueName="1" name="Item ID" queryTableFieldId="1" dataDxfId="13"/>
    <tableColumn id="2" xr3:uid="{430F5717-B5E0-4BC3-B722-D781C672DE53}" uniqueName="2" name="Name" queryTableFieldId="2" dataDxfId="12"/>
    <tableColumn id="3" xr3:uid="{4FEBDA96-0660-499B-A6DA-A0E07021CAA0}" uniqueName="3" name="Business Unit" queryTableFieldId="3" dataDxfId="11"/>
    <tableColumn id="4" xr3:uid="{93F042D6-93BF-4035-A5F6-08F738A3D262}" uniqueName="4" name="Category" queryTableFieldId="4" dataDxfId="10"/>
    <tableColumn id="5" xr3:uid="{9DF548A0-F67B-4D01-B5EE-7AAEFFDC2551}" uniqueName="5" name="Sub-Category" queryTableFieldId="5" dataDxfId="9"/>
    <tableColumn id="6" xr3:uid="{054E059B-AF7F-4D22-AAE0-0B1F53BD11CC}" uniqueName="6" name="SKU" queryTableFieldId="6" dataDxfId="8"/>
    <tableColumn id="7" xr3:uid="{FA6A15CD-42D1-499E-85FC-2C0177CA9E88}" uniqueName="7" name="Brand" queryTableFieldId="7" dataDxfId="7"/>
    <tableColumn id="8" xr3:uid="{E0B89512-B015-4C25-B4FB-F46C5E8BC00A}" uniqueName="8" name="Cost Price ( MYR )" queryTableFieldId="8"/>
    <tableColumn id="9" xr3:uid="{D871C041-EEAA-4956-8D48-D3B2F67CA24D}" uniqueName="9" name="Stock Moving Status" queryTableFieldId="9" dataDxfId="6"/>
    <tableColumn id="10" xr3:uid="{24292A17-2343-4E64-A4C5-86D69BE3D6FF}" uniqueName="10" name="List Price" queryTableFieldId="10" dataDxfId="5">
      <calculatedColumnFormula>CEILING((Query1[[#This Row],[Cost Price ( MYR )]] / (1 - _xlfn.XLOOKUP(Query1[[#This Row],[Business Unit]], Margins!A:A, Margins!C:C))) * (1 - _xlfn.XLOOKUP(Query1[[#This Row],[Business Unit]], Margins!A:A, Margins!D:D)),5)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311610-F25E-4E56-94A3-F8E923EC2C42}" name="Query2" displayName="Query2" ref="A1:E32" tableType="queryTable" totalsRowShown="0">
  <autoFilter ref="A1:E32" xr:uid="{28311610-F25E-4E56-94A3-F8E923EC2C42}"/>
  <tableColumns count="5">
    <tableColumn id="1" xr3:uid="{D000C1C1-8388-462F-9350-B18991F4CC39}" uniqueName="1" name="Item ID" queryTableFieldId="1" dataDxfId="1"/>
    <tableColumn id="2" xr3:uid="{D3250400-A0AA-4596-97D0-AAD3419A2BF2}" uniqueName="2" name="Item SKU" queryTableFieldId="2" dataDxfId="4"/>
    <tableColumn id="3" xr3:uid="{06DD97F3-814C-45AE-A06E-4499DED6CB01}" uniqueName="3" name="Name" queryTableFieldId="3" dataDxfId="3"/>
    <tableColumn id="4" xr3:uid="{B5EDE2C7-E0DC-486D-AD02-789881246995}" uniqueName="4" name="Status" queryTableFieldId="4" dataDxfId="2"/>
    <tableColumn id="5" xr3:uid="{6B8B7FDD-60E1-461A-A7C1-1DC00C78CD32}" uniqueName="5" name="List Price" queryTableFieldId="5" dataDxfId="0">
      <calculatedColumnFormula>_xlfn.XLOOKUP(Query2[[#This Row],[Item ID]],[1]PASTE_ZOHO_HERE!$A$2:$A$32,[1]PASTE_ZOHO_HERE!$H$2:$H$32)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1D1B-0BD5-4B60-988C-6664B89F4027}">
  <dimension ref="A1:K405"/>
  <sheetViews>
    <sheetView tabSelected="1" topLeftCell="D1" workbookViewId="0">
      <selection activeCell="J5" sqref="J5"/>
    </sheetView>
  </sheetViews>
  <sheetFormatPr defaultRowHeight="15" customHeight="1" x14ac:dyDescent="0.35"/>
  <cols>
    <col min="1" max="1" width="21.453125" customWidth="1"/>
    <col min="2" max="2" width="103" bestFit="1" customWidth="1"/>
    <col min="3" max="3" width="26.54296875" bestFit="1" customWidth="1"/>
    <col min="4" max="4" width="23.1796875" customWidth="1"/>
    <col min="5" max="5" width="19.54296875" customWidth="1"/>
    <col min="6" max="6" width="30.453125" bestFit="1" customWidth="1"/>
    <col min="7" max="7" width="11.7265625" bestFit="1" customWidth="1"/>
    <col min="8" max="8" width="18.81640625" customWidth="1"/>
    <col min="9" max="9" width="21.26953125" customWidth="1"/>
    <col min="10" max="10" width="18.81640625" customWidth="1"/>
    <col min="11" max="11" width="3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J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" spans="1:10" x14ac:dyDescent="0.35">
      <c r="B3" t="s">
        <v>16</v>
      </c>
      <c r="C3" t="s">
        <v>11</v>
      </c>
      <c r="D3" t="s">
        <v>12</v>
      </c>
      <c r="E3" t="s">
        <v>17</v>
      </c>
      <c r="F3" t="s">
        <v>18</v>
      </c>
      <c r="G3" t="s">
        <v>15</v>
      </c>
      <c r="J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" spans="1:10" x14ac:dyDescent="0.35">
      <c r="A4" t="s">
        <v>19</v>
      </c>
      <c r="B4" t="s">
        <v>20</v>
      </c>
      <c r="C4" t="s">
        <v>11</v>
      </c>
      <c r="D4" t="s">
        <v>12</v>
      </c>
      <c r="E4" t="s">
        <v>17</v>
      </c>
      <c r="F4" t="s">
        <v>21</v>
      </c>
      <c r="G4" t="s">
        <v>15</v>
      </c>
      <c r="H4">
        <v>0</v>
      </c>
      <c r="J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" spans="1:10" x14ac:dyDescent="0.35">
      <c r="A5" t="s">
        <v>22</v>
      </c>
      <c r="B5" t="s">
        <v>23</v>
      </c>
      <c r="C5" t="s">
        <v>11</v>
      </c>
      <c r="D5" t="s">
        <v>12</v>
      </c>
      <c r="E5" t="s">
        <v>17</v>
      </c>
      <c r="F5" t="s">
        <v>24</v>
      </c>
      <c r="G5" t="s">
        <v>15</v>
      </c>
      <c r="H5">
        <v>0</v>
      </c>
      <c r="J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6" spans="1:10" x14ac:dyDescent="0.35">
      <c r="A6" t="s">
        <v>25</v>
      </c>
      <c r="B6" t="s">
        <v>26</v>
      </c>
      <c r="C6" t="s">
        <v>11</v>
      </c>
      <c r="D6" t="s">
        <v>12</v>
      </c>
      <c r="E6" t="s">
        <v>17</v>
      </c>
      <c r="F6" t="s">
        <v>27</v>
      </c>
      <c r="G6" t="s">
        <v>15</v>
      </c>
      <c r="H6">
        <v>118.33</v>
      </c>
      <c r="J6">
        <f>CEILING((Query1[[#This Row],[Cost Price ( MYR )]] / (1 - _xlfn.XLOOKUP(Query1[[#This Row],[Business Unit]], Margins!A:A, Margins!C:C))) * (1 - _xlfn.XLOOKUP(Query1[[#This Row],[Business Unit]], Margins!A:A, Margins!D:D)),5)</f>
        <v>215</v>
      </c>
    </row>
    <row r="7" spans="1:10" x14ac:dyDescent="0.35">
      <c r="B7" t="s">
        <v>28</v>
      </c>
      <c r="C7" t="s">
        <v>11</v>
      </c>
      <c r="D7" t="s">
        <v>12</v>
      </c>
      <c r="E7" t="s">
        <v>17</v>
      </c>
      <c r="F7" t="s">
        <v>29</v>
      </c>
      <c r="G7" t="s">
        <v>15</v>
      </c>
      <c r="J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8" spans="1:10" x14ac:dyDescent="0.35">
      <c r="B8" t="s">
        <v>30</v>
      </c>
      <c r="C8" t="s">
        <v>11</v>
      </c>
      <c r="D8" t="s">
        <v>12</v>
      </c>
      <c r="E8" t="s">
        <v>17</v>
      </c>
      <c r="F8" t="s">
        <v>31</v>
      </c>
      <c r="G8" t="s">
        <v>15</v>
      </c>
      <c r="J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9" spans="1:10" x14ac:dyDescent="0.35">
      <c r="B9" t="s">
        <v>32</v>
      </c>
      <c r="C9" t="s">
        <v>11</v>
      </c>
      <c r="D9" t="s">
        <v>12</v>
      </c>
      <c r="E9" t="s">
        <v>13</v>
      </c>
      <c r="F9" t="s">
        <v>33</v>
      </c>
      <c r="G9" t="s">
        <v>15</v>
      </c>
      <c r="J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0" spans="1:10" x14ac:dyDescent="0.35">
      <c r="A10" t="s">
        <v>34</v>
      </c>
      <c r="B10" t="s">
        <v>35</v>
      </c>
      <c r="C10" t="s">
        <v>11</v>
      </c>
      <c r="D10" t="s">
        <v>12</v>
      </c>
      <c r="E10" t="s">
        <v>17</v>
      </c>
      <c r="F10" t="s">
        <v>36</v>
      </c>
      <c r="G10" t="s">
        <v>15</v>
      </c>
      <c r="H10">
        <v>5830.09</v>
      </c>
      <c r="J10">
        <f>CEILING((Query1[[#This Row],[Cost Price ( MYR )]] / (1 - _xlfn.XLOOKUP(Query1[[#This Row],[Business Unit]], Margins!A:A, Margins!C:C))) * (1 - _xlfn.XLOOKUP(Query1[[#This Row],[Business Unit]], Margins!A:A, Margins!D:D)),5)</f>
        <v>10370</v>
      </c>
    </row>
    <row r="11" spans="1:10" x14ac:dyDescent="0.35">
      <c r="B11" t="s">
        <v>37</v>
      </c>
      <c r="C11" t="s">
        <v>11</v>
      </c>
      <c r="D11" t="s">
        <v>12</v>
      </c>
      <c r="E11" t="s">
        <v>17</v>
      </c>
      <c r="F11" t="s">
        <v>38</v>
      </c>
      <c r="G11" t="s">
        <v>15</v>
      </c>
      <c r="J1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2" spans="1:10" x14ac:dyDescent="0.35">
      <c r="A12" t="s">
        <v>39</v>
      </c>
      <c r="B12" t="s">
        <v>40</v>
      </c>
      <c r="C12" t="s">
        <v>11</v>
      </c>
      <c r="D12" t="s">
        <v>12</v>
      </c>
      <c r="E12" t="s">
        <v>13</v>
      </c>
      <c r="F12" t="s">
        <v>41</v>
      </c>
      <c r="G12" t="s">
        <v>15</v>
      </c>
      <c r="H12">
        <v>6684.97</v>
      </c>
      <c r="J12">
        <f>CEILING((Query1[[#This Row],[Cost Price ( MYR )]] / (1 - _xlfn.XLOOKUP(Query1[[#This Row],[Business Unit]], Margins!A:A, Margins!C:C))) * (1 - _xlfn.XLOOKUP(Query1[[#This Row],[Business Unit]], Margins!A:A, Margins!D:D)),5)</f>
        <v>11895</v>
      </c>
    </row>
    <row r="13" spans="1:10" x14ac:dyDescent="0.35">
      <c r="A13" t="s">
        <v>42</v>
      </c>
      <c r="B13" t="s">
        <v>43</v>
      </c>
      <c r="C13" t="s">
        <v>11</v>
      </c>
      <c r="D13" t="s">
        <v>12</v>
      </c>
      <c r="E13" t="s">
        <v>13</v>
      </c>
      <c r="F13" t="s">
        <v>44</v>
      </c>
      <c r="G13" t="s">
        <v>15</v>
      </c>
      <c r="H13">
        <v>14067.25</v>
      </c>
      <c r="J13">
        <f>CEILING((Query1[[#This Row],[Cost Price ( MYR )]] / (1 - _xlfn.XLOOKUP(Query1[[#This Row],[Business Unit]], Margins!A:A, Margins!C:C))) * (1 - _xlfn.XLOOKUP(Query1[[#This Row],[Business Unit]], Margins!A:A, Margins!D:D)),5)</f>
        <v>25025</v>
      </c>
    </row>
    <row r="14" spans="1:10" x14ac:dyDescent="0.35">
      <c r="B14" t="s">
        <v>45</v>
      </c>
      <c r="C14" t="s">
        <v>11</v>
      </c>
      <c r="D14" t="s">
        <v>12</v>
      </c>
      <c r="E14" t="s">
        <v>17</v>
      </c>
      <c r="F14" t="s">
        <v>46</v>
      </c>
      <c r="G14" t="s">
        <v>15</v>
      </c>
      <c r="J1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" spans="1:10" x14ac:dyDescent="0.35">
      <c r="B15" t="s">
        <v>47</v>
      </c>
      <c r="C15" t="s">
        <v>11</v>
      </c>
      <c r="D15" t="s">
        <v>12</v>
      </c>
      <c r="E15" t="s">
        <v>17</v>
      </c>
      <c r="F15" t="s">
        <v>48</v>
      </c>
      <c r="G15" t="s">
        <v>15</v>
      </c>
      <c r="J1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6" spans="1:10" x14ac:dyDescent="0.35">
      <c r="B16" t="s">
        <v>49</v>
      </c>
      <c r="C16" t="s">
        <v>11</v>
      </c>
      <c r="D16" t="s">
        <v>12</v>
      </c>
      <c r="E16" t="s">
        <v>13</v>
      </c>
      <c r="F16" t="s">
        <v>50</v>
      </c>
      <c r="G16" t="s">
        <v>15</v>
      </c>
      <c r="J1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" spans="1:10" x14ac:dyDescent="0.35">
      <c r="A17" t="s">
        <v>51</v>
      </c>
      <c r="B17" t="s">
        <v>52</v>
      </c>
      <c r="C17" t="s">
        <v>11</v>
      </c>
      <c r="D17" t="s">
        <v>12</v>
      </c>
      <c r="E17" t="s">
        <v>17</v>
      </c>
      <c r="F17" t="s">
        <v>53</v>
      </c>
      <c r="G17" t="s">
        <v>15</v>
      </c>
      <c r="H17">
        <v>0</v>
      </c>
      <c r="J1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" spans="1:10" x14ac:dyDescent="0.35">
      <c r="B18" t="s">
        <v>54</v>
      </c>
      <c r="C18" t="s">
        <v>11</v>
      </c>
      <c r="D18" t="s">
        <v>12</v>
      </c>
      <c r="E18" t="s">
        <v>17</v>
      </c>
      <c r="F18" t="s">
        <v>55</v>
      </c>
      <c r="G18" t="s">
        <v>15</v>
      </c>
      <c r="J1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9" spans="1:10" x14ac:dyDescent="0.35">
      <c r="B19" t="s">
        <v>56</v>
      </c>
      <c r="C19" t="s">
        <v>11</v>
      </c>
      <c r="D19" t="s">
        <v>12</v>
      </c>
      <c r="E19" t="s">
        <v>13</v>
      </c>
      <c r="F19" t="s">
        <v>57</v>
      </c>
      <c r="G19" t="s">
        <v>15</v>
      </c>
      <c r="J1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0" spans="1:10" x14ac:dyDescent="0.35">
      <c r="A20" t="s">
        <v>58</v>
      </c>
      <c r="B20" t="s">
        <v>59</v>
      </c>
      <c r="C20" t="s">
        <v>11</v>
      </c>
      <c r="D20" t="s">
        <v>12</v>
      </c>
      <c r="E20" t="s">
        <v>17</v>
      </c>
      <c r="F20" t="s">
        <v>60</v>
      </c>
      <c r="G20" t="s">
        <v>15</v>
      </c>
      <c r="H20">
        <v>4375.67</v>
      </c>
      <c r="J20">
        <f>CEILING((Query1[[#This Row],[Cost Price ( MYR )]] / (1 - _xlfn.XLOOKUP(Query1[[#This Row],[Business Unit]], Margins!A:A, Margins!C:C))) * (1 - _xlfn.XLOOKUP(Query1[[#This Row],[Business Unit]], Margins!A:A, Margins!D:D)),5)</f>
        <v>7785</v>
      </c>
    </row>
    <row r="21" spans="1:10" x14ac:dyDescent="0.35">
      <c r="B21" t="s">
        <v>61</v>
      </c>
      <c r="C21" t="s">
        <v>11</v>
      </c>
      <c r="D21" t="s">
        <v>12</v>
      </c>
      <c r="E21" t="s">
        <v>17</v>
      </c>
      <c r="F21" t="s">
        <v>62</v>
      </c>
      <c r="G21" t="s">
        <v>15</v>
      </c>
      <c r="J2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2" spans="1:10" x14ac:dyDescent="0.35">
      <c r="B22" t="s">
        <v>63</v>
      </c>
      <c r="C22" t="s">
        <v>11</v>
      </c>
      <c r="D22" t="s">
        <v>12</v>
      </c>
      <c r="E22" t="s">
        <v>17</v>
      </c>
      <c r="F22" t="s">
        <v>64</v>
      </c>
      <c r="G22" t="s">
        <v>15</v>
      </c>
      <c r="J2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3" spans="1:10" x14ac:dyDescent="0.35">
      <c r="B23" t="s">
        <v>65</v>
      </c>
      <c r="C23" t="s">
        <v>11</v>
      </c>
      <c r="D23" t="s">
        <v>12</v>
      </c>
      <c r="E23" t="s">
        <v>17</v>
      </c>
      <c r="F23" t="s">
        <v>66</v>
      </c>
      <c r="G23" t="s">
        <v>15</v>
      </c>
      <c r="J2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4" spans="1:10" x14ac:dyDescent="0.35">
      <c r="A24" t="s">
        <v>67</v>
      </c>
      <c r="B24" t="s">
        <v>68</v>
      </c>
      <c r="C24" t="s">
        <v>11</v>
      </c>
      <c r="D24" t="s">
        <v>12</v>
      </c>
      <c r="E24" t="s">
        <v>17</v>
      </c>
      <c r="F24" t="s">
        <v>69</v>
      </c>
      <c r="G24" t="s">
        <v>15</v>
      </c>
      <c r="H24">
        <v>0</v>
      </c>
      <c r="J2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" spans="1:10" x14ac:dyDescent="0.35">
      <c r="B25" t="s">
        <v>70</v>
      </c>
      <c r="C25" t="s">
        <v>11</v>
      </c>
      <c r="D25" t="s">
        <v>12</v>
      </c>
      <c r="E25" t="s">
        <v>17</v>
      </c>
      <c r="F25" t="s">
        <v>71</v>
      </c>
      <c r="G25" t="s">
        <v>15</v>
      </c>
      <c r="J2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6" spans="1:10" x14ac:dyDescent="0.35">
      <c r="A26" t="s">
        <v>72</v>
      </c>
      <c r="B26" t="s">
        <v>73</v>
      </c>
      <c r="C26" t="s">
        <v>11</v>
      </c>
      <c r="D26" t="s">
        <v>12</v>
      </c>
      <c r="E26" t="s">
        <v>17</v>
      </c>
      <c r="F26" t="s">
        <v>74</v>
      </c>
      <c r="G26" t="s">
        <v>75</v>
      </c>
      <c r="H26">
        <v>0</v>
      </c>
      <c r="J2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7" spans="1:10" x14ac:dyDescent="0.35">
      <c r="A27" t="s">
        <v>76</v>
      </c>
      <c r="B27" t="s">
        <v>73</v>
      </c>
      <c r="C27" t="s">
        <v>11</v>
      </c>
      <c r="D27" t="s">
        <v>12</v>
      </c>
      <c r="E27" t="s">
        <v>17</v>
      </c>
      <c r="F27" t="s">
        <v>77</v>
      </c>
      <c r="G27" t="s">
        <v>75</v>
      </c>
      <c r="H27">
        <v>0</v>
      </c>
      <c r="J2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8" spans="1:10" x14ac:dyDescent="0.35">
      <c r="A28" t="s">
        <v>78</v>
      </c>
      <c r="B28" t="s">
        <v>79</v>
      </c>
      <c r="C28" t="s">
        <v>11</v>
      </c>
      <c r="D28" t="s">
        <v>12</v>
      </c>
      <c r="E28" t="s">
        <v>17</v>
      </c>
      <c r="F28" t="s">
        <v>80</v>
      </c>
      <c r="G28" t="s">
        <v>75</v>
      </c>
      <c r="H28">
        <v>0</v>
      </c>
      <c r="J2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9" spans="1:10" x14ac:dyDescent="0.35">
      <c r="A29" t="s">
        <v>81</v>
      </c>
      <c r="B29" t="s">
        <v>82</v>
      </c>
      <c r="C29" t="s">
        <v>11</v>
      </c>
      <c r="D29" t="s">
        <v>12</v>
      </c>
      <c r="E29" t="s">
        <v>17</v>
      </c>
      <c r="F29" t="s">
        <v>83</v>
      </c>
      <c r="G29" t="s">
        <v>75</v>
      </c>
      <c r="H29">
        <v>0</v>
      </c>
      <c r="J2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0" spans="1:10" x14ac:dyDescent="0.35">
      <c r="A30" t="s">
        <v>84</v>
      </c>
      <c r="B30" t="s">
        <v>85</v>
      </c>
      <c r="C30" t="s">
        <v>11</v>
      </c>
      <c r="D30" t="s">
        <v>12</v>
      </c>
      <c r="E30" t="s">
        <v>17</v>
      </c>
      <c r="F30" t="s">
        <v>86</v>
      </c>
      <c r="G30" t="s">
        <v>75</v>
      </c>
      <c r="H30">
        <v>0</v>
      </c>
      <c r="J3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" spans="1:10" x14ac:dyDescent="0.35">
      <c r="A31" t="s">
        <v>87</v>
      </c>
      <c r="B31" t="s">
        <v>88</v>
      </c>
      <c r="C31" t="s">
        <v>11</v>
      </c>
      <c r="D31" t="s">
        <v>12</v>
      </c>
      <c r="E31" t="s">
        <v>17</v>
      </c>
      <c r="F31" t="s">
        <v>89</v>
      </c>
      <c r="G31" t="s">
        <v>75</v>
      </c>
      <c r="H31">
        <v>0</v>
      </c>
      <c r="J3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" spans="1:10" x14ac:dyDescent="0.35">
      <c r="A32" t="s">
        <v>90</v>
      </c>
      <c r="B32" t="s">
        <v>91</v>
      </c>
      <c r="C32" t="s">
        <v>11</v>
      </c>
      <c r="D32" t="s">
        <v>12</v>
      </c>
      <c r="E32" t="s">
        <v>17</v>
      </c>
      <c r="F32" t="s">
        <v>92</v>
      </c>
      <c r="G32" t="s">
        <v>75</v>
      </c>
      <c r="H32">
        <v>0</v>
      </c>
      <c r="J3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" spans="1:10" x14ac:dyDescent="0.35">
      <c r="A33" t="s">
        <v>93</v>
      </c>
      <c r="B33" t="s">
        <v>94</v>
      </c>
      <c r="C33" t="s">
        <v>11</v>
      </c>
      <c r="D33" t="s">
        <v>12</v>
      </c>
      <c r="E33" t="s">
        <v>17</v>
      </c>
      <c r="F33" t="s">
        <v>95</v>
      </c>
      <c r="G33" t="s">
        <v>75</v>
      </c>
      <c r="H33">
        <v>0</v>
      </c>
      <c r="J3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4" spans="1:10" x14ac:dyDescent="0.35">
      <c r="A34" t="s">
        <v>96</v>
      </c>
      <c r="B34" t="s">
        <v>97</v>
      </c>
      <c r="C34" t="s">
        <v>11</v>
      </c>
      <c r="D34" t="s">
        <v>12</v>
      </c>
      <c r="E34" t="s">
        <v>17</v>
      </c>
      <c r="F34" t="s">
        <v>98</v>
      </c>
      <c r="G34" t="s">
        <v>75</v>
      </c>
      <c r="H34">
        <v>0</v>
      </c>
      <c r="J3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" spans="1:10" x14ac:dyDescent="0.35">
      <c r="A35" t="s">
        <v>99</v>
      </c>
      <c r="B35" t="s">
        <v>100</v>
      </c>
      <c r="C35" t="s">
        <v>11</v>
      </c>
      <c r="D35" t="s">
        <v>12</v>
      </c>
      <c r="E35" t="s">
        <v>17</v>
      </c>
      <c r="F35" t="s">
        <v>101</v>
      </c>
      <c r="G35" t="s">
        <v>75</v>
      </c>
      <c r="H35">
        <v>0</v>
      </c>
      <c r="J3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6" spans="1:10" x14ac:dyDescent="0.35">
      <c r="A36" t="s">
        <v>102</v>
      </c>
      <c r="B36" t="s">
        <v>103</v>
      </c>
      <c r="C36" t="s">
        <v>11</v>
      </c>
      <c r="D36" t="s">
        <v>12</v>
      </c>
      <c r="E36" t="s">
        <v>17</v>
      </c>
      <c r="F36" t="s">
        <v>104</v>
      </c>
      <c r="G36" t="s">
        <v>75</v>
      </c>
      <c r="H36">
        <v>0</v>
      </c>
      <c r="J3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7" spans="1:10" x14ac:dyDescent="0.35">
      <c r="A37" t="s">
        <v>105</v>
      </c>
      <c r="B37" t="s">
        <v>106</v>
      </c>
      <c r="C37" t="s">
        <v>11</v>
      </c>
      <c r="D37" t="s">
        <v>12</v>
      </c>
      <c r="E37" t="s">
        <v>17</v>
      </c>
      <c r="F37" t="s">
        <v>107</v>
      </c>
      <c r="G37" t="s">
        <v>75</v>
      </c>
      <c r="H37">
        <v>0</v>
      </c>
      <c r="J3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8" spans="1:10" x14ac:dyDescent="0.35">
      <c r="A38" t="s">
        <v>108</v>
      </c>
      <c r="B38" t="s">
        <v>109</v>
      </c>
      <c r="C38" t="s">
        <v>11</v>
      </c>
      <c r="D38" t="s">
        <v>12</v>
      </c>
      <c r="E38" t="s">
        <v>17</v>
      </c>
      <c r="F38" t="s">
        <v>110</v>
      </c>
      <c r="G38" t="s">
        <v>75</v>
      </c>
      <c r="H38">
        <v>0</v>
      </c>
      <c r="J3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" spans="1:10" x14ac:dyDescent="0.35">
      <c r="A39" t="s">
        <v>111</v>
      </c>
      <c r="B39" t="s">
        <v>112</v>
      </c>
      <c r="C39" t="s">
        <v>11</v>
      </c>
      <c r="D39" t="s">
        <v>12</v>
      </c>
      <c r="E39" t="s">
        <v>17</v>
      </c>
      <c r="F39" t="s">
        <v>113</v>
      </c>
      <c r="G39" t="s">
        <v>75</v>
      </c>
      <c r="H39">
        <v>0</v>
      </c>
      <c r="J3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0" spans="1:10" x14ac:dyDescent="0.35">
      <c r="A40" t="s">
        <v>114</v>
      </c>
      <c r="B40" t="s">
        <v>115</v>
      </c>
      <c r="C40" t="s">
        <v>11</v>
      </c>
      <c r="D40" t="s">
        <v>12</v>
      </c>
      <c r="E40" t="s">
        <v>17</v>
      </c>
      <c r="F40" t="s">
        <v>116</v>
      </c>
      <c r="H40">
        <v>0</v>
      </c>
      <c r="J4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1" spans="1:10" x14ac:dyDescent="0.35">
      <c r="B41" t="s">
        <v>117</v>
      </c>
      <c r="C41" t="s">
        <v>11</v>
      </c>
      <c r="D41" t="s">
        <v>12</v>
      </c>
      <c r="E41" t="s">
        <v>118</v>
      </c>
      <c r="F41" t="s">
        <v>119</v>
      </c>
      <c r="G41" t="s">
        <v>15</v>
      </c>
      <c r="J4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2" spans="1:10" x14ac:dyDescent="0.35">
      <c r="B42" t="s">
        <v>120</v>
      </c>
      <c r="C42" t="s">
        <v>11</v>
      </c>
      <c r="D42" t="s">
        <v>12</v>
      </c>
      <c r="E42" t="s">
        <v>118</v>
      </c>
      <c r="F42" t="s">
        <v>121</v>
      </c>
      <c r="G42" t="s">
        <v>15</v>
      </c>
      <c r="J4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3" spans="1:10" x14ac:dyDescent="0.35">
      <c r="A43" t="s">
        <v>122</v>
      </c>
      <c r="B43" t="s">
        <v>123</v>
      </c>
      <c r="C43" t="s">
        <v>11</v>
      </c>
      <c r="D43" t="s">
        <v>12</v>
      </c>
      <c r="E43" t="s">
        <v>118</v>
      </c>
      <c r="F43" t="s">
        <v>124</v>
      </c>
      <c r="G43" t="s">
        <v>15</v>
      </c>
      <c r="H43">
        <v>0</v>
      </c>
      <c r="J4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4" spans="1:10" x14ac:dyDescent="0.35">
      <c r="B44" t="s">
        <v>28</v>
      </c>
      <c r="C44" t="s">
        <v>11</v>
      </c>
      <c r="D44" t="s">
        <v>12</v>
      </c>
      <c r="E44" t="s">
        <v>118</v>
      </c>
      <c r="F44" t="s">
        <v>29</v>
      </c>
      <c r="G44" t="s">
        <v>15</v>
      </c>
      <c r="J4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5" spans="1:10" x14ac:dyDescent="0.35">
      <c r="A45" t="s">
        <v>125</v>
      </c>
      <c r="B45" t="s">
        <v>126</v>
      </c>
      <c r="C45" t="s">
        <v>11</v>
      </c>
      <c r="D45" t="s">
        <v>12</v>
      </c>
      <c r="E45" t="s">
        <v>13</v>
      </c>
      <c r="F45" t="s">
        <v>127</v>
      </c>
      <c r="G45" t="s">
        <v>15</v>
      </c>
      <c r="H45">
        <v>0</v>
      </c>
      <c r="J4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6" spans="1:10" x14ac:dyDescent="0.35">
      <c r="B46" t="s">
        <v>128</v>
      </c>
      <c r="C46" t="s">
        <v>11</v>
      </c>
      <c r="D46" t="s">
        <v>12</v>
      </c>
      <c r="E46" t="s">
        <v>17</v>
      </c>
      <c r="F46" t="s">
        <v>129</v>
      </c>
      <c r="G46" t="s">
        <v>15</v>
      </c>
      <c r="J4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7" spans="1:10" x14ac:dyDescent="0.35">
      <c r="B47" t="s">
        <v>130</v>
      </c>
      <c r="C47" t="s">
        <v>11</v>
      </c>
      <c r="D47" t="s">
        <v>12</v>
      </c>
      <c r="E47" t="s">
        <v>118</v>
      </c>
      <c r="F47" t="s">
        <v>131</v>
      </c>
      <c r="G47" t="s">
        <v>15</v>
      </c>
      <c r="J4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8" spans="1:10" x14ac:dyDescent="0.35">
      <c r="A48" t="s">
        <v>132</v>
      </c>
      <c r="B48" t="s">
        <v>133</v>
      </c>
      <c r="C48" t="s">
        <v>11</v>
      </c>
      <c r="D48" t="s">
        <v>12</v>
      </c>
      <c r="E48" t="s">
        <v>118</v>
      </c>
      <c r="F48" t="s">
        <v>134</v>
      </c>
      <c r="G48" t="s">
        <v>15</v>
      </c>
      <c r="H48">
        <v>18.96</v>
      </c>
      <c r="J48">
        <f>CEILING((Query1[[#This Row],[Cost Price ( MYR )]] / (1 - _xlfn.XLOOKUP(Query1[[#This Row],[Business Unit]], Margins!A:A, Margins!C:C))) * (1 - _xlfn.XLOOKUP(Query1[[#This Row],[Business Unit]], Margins!A:A, Margins!D:D)),5)</f>
        <v>35</v>
      </c>
    </row>
    <row r="49" spans="1:10" x14ac:dyDescent="0.35">
      <c r="B49" t="s">
        <v>135</v>
      </c>
      <c r="C49" t="s">
        <v>11</v>
      </c>
      <c r="D49" t="s">
        <v>12</v>
      </c>
      <c r="E49" t="s">
        <v>118</v>
      </c>
      <c r="F49" t="s">
        <v>136</v>
      </c>
      <c r="G49" t="s">
        <v>15</v>
      </c>
      <c r="J4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0" spans="1:10" x14ac:dyDescent="0.35">
      <c r="B50" t="s">
        <v>137</v>
      </c>
      <c r="C50" t="s">
        <v>11</v>
      </c>
      <c r="D50" t="s">
        <v>12</v>
      </c>
      <c r="E50" t="s">
        <v>118</v>
      </c>
      <c r="F50" t="s">
        <v>138</v>
      </c>
      <c r="G50" t="s">
        <v>15</v>
      </c>
      <c r="J5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1" spans="1:10" x14ac:dyDescent="0.35">
      <c r="B51" t="s">
        <v>139</v>
      </c>
      <c r="C51" t="s">
        <v>11</v>
      </c>
      <c r="D51" t="s">
        <v>12</v>
      </c>
      <c r="E51" t="s">
        <v>118</v>
      </c>
      <c r="F51" t="s">
        <v>140</v>
      </c>
      <c r="G51" t="s">
        <v>15</v>
      </c>
      <c r="J5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2" spans="1:10" x14ac:dyDescent="0.35">
      <c r="B52" t="s">
        <v>141</v>
      </c>
      <c r="C52" t="s">
        <v>11</v>
      </c>
      <c r="D52" t="s">
        <v>12</v>
      </c>
      <c r="E52" t="s">
        <v>118</v>
      </c>
      <c r="F52" t="s">
        <v>142</v>
      </c>
      <c r="G52" t="s">
        <v>15</v>
      </c>
      <c r="J5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3" spans="1:10" x14ac:dyDescent="0.35">
      <c r="B53" t="s">
        <v>143</v>
      </c>
      <c r="C53" t="s">
        <v>11</v>
      </c>
      <c r="D53" t="s">
        <v>12</v>
      </c>
      <c r="E53" t="s">
        <v>118</v>
      </c>
      <c r="F53" t="s">
        <v>144</v>
      </c>
      <c r="G53" t="s">
        <v>15</v>
      </c>
      <c r="J5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4" spans="1:10" x14ac:dyDescent="0.35">
      <c r="B54" t="s">
        <v>145</v>
      </c>
      <c r="C54" t="s">
        <v>11</v>
      </c>
      <c r="D54" t="s">
        <v>12</v>
      </c>
      <c r="E54" t="s">
        <v>118</v>
      </c>
      <c r="F54" t="s">
        <v>146</v>
      </c>
      <c r="G54" t="s">
        <v>15</v>
      </c>
      <c r="J5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5" spans="1:10" x14ac:dyDescent="0.35">
      <c r="A55" t="s">
        <v>147</v>
      </c>
      <c r="B55" t="s">
        <v>148</v>
      </c>
      <c r="C55" t="s">
        <v>11</v>
      </c>
      <c r="D55" t="s">
        <v>12</v>
      </c>
      <c r="E55" t="s">
        <v>118</v>
      </c>
      <c r="F55" t="s">
        <v>149</v>
      </c>
      <c r="G55" t="s">
        <v>15</v>
      </c>
      <c r="H55">
        <v>0</v>
      </c>
      <c r="J5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6" spans="1:10" x14ac:dyDescent="0.35">
      <c r="A56" t="s">
        <v>150</v>
      </c>
      <c r="B56" t="s">
        <v>151</v>
      </c>
      <c r="C56" t="s">
        <v>11</v>
      </c>
      <c r="D56" t="s">
        <v>152</v>
      </c>
      <c r="E56" t="s">
        <v>153</v>
      </c>
      <c r="F56" t="s">
        <v>154</v>
      </c>
      <c r="G56" t="s">
        <v>155</v>
      </c>
      <c r="H56">
        <v>0</v>
      </c>
      <c r="J5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7" spans="1:10" x14ac:dyDescent="0.35">
      <c r="A57" t="s">
        <v>156</v>
      </c>
      <c r="B57" t="s">
        <v>157</v>
      </c>
      <c r="C57" t="s">
        <v>11</v>
      </c>
      <c r="D57" t="s">
        <v>152</v>
      </c>
      <c r="E57" t="s">
        <v>153</v>
      </c>
      <c r="F57" t="s">
        <v>158</v>
      </c>
      <c r="G57" t="s">
        <v>155</v>
      </c>
      <c r="H57">
        <v>0</v>
      </c>
      <c r="J5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8" spans="1:10" x14ac:dyDescent="0.35">
      <c r="A58" t="s">
        <v>159</v>
      </c>
      <c r="B58" t="s">
        <v>160</v>
      </c>
      <c r="C58" t="s">
        <v>11</v>
      </c>
      <c r="D58" t="s">
        <v>152</v>
      </c>
      <c r="E58" t="s">
        <v>153</v>
      </c>
      <c r="F58" t="s">
        <v>161</v>
      </c>
      <c r="G58" t="s">
        <v>155</v>
      </c>
      <c r="H58">
        <v>0</v>
      </c>
      <c r="J5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59" spans="1:10" x14ac:dyDescent="0.35">
      <c r="A59" t="s">
        <v>162</v>
      </c>
      <c r="B59" t="s">
        <v>163</v>
      </c>
      <c r="C59" t="s">
        <v>11</v>
      </c>
      <c r="D59" t="s">
        <v>152</v>
      </c>
      <c r="E59" t="s">
        <v>153</v>
      </c>
      <c r="F59" t="s">
        <v>164</v>
      </c>
      <c r="G59" t="s">
        <v>155</v>
      </c>
      <c r="H59">
        <v>0</v>
      </c>
      <c r="J5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60" spans="1:10" x14ac:dyDescent="0.35">
      <c r="A60" t="s">
        <v>165</v>
      </c>
      <c r="B60" t="s">
        <v>166</v>
      </c>
      <c r="C60" t="s">
        <v>11</v>
      </c>
      <c r="D60" t="s">
        <v>152</v>
      </c>
      <c r="E60" t="s">
        <v>153</v>
      </c>
      <c r="F60" t="s">
        <v>167</v>
      </c>
      <c r="G60" t="s">
        <v>155</v>
      </c>
      <c r="H60">
        <v>340.26</v>
      </c>
      <c r="J60">
        <f>CEILING((Query1[[#This Row],[Cost Price ( MYR )]] / (1 - _xlfn.XLOOKUP(Query1[[#This Row],[Business Unit]], Margins!A:A, Margins!C:C))) * (1 - _xlfn.XLOOKUP(Query1[[#This Row],[Business Unit]], Margins!A:A, Margins!D:D)),5)</f>
        <v>610</v>
      </c>
    </row>
    <row r="61" spans="1:10" x14ac:dyDescent="0.35">
      <c r="A61" t="s">
        <v>168</v>
      </c>
      <c r="B61" t="s">
        <v>169</v>
      </c>
      <c r="C61" t="s">
        <v>11</v>
      </c>
      <c r="D61" t="s">
        <v>152</v>
      </c>
      <c r="E61" t="s">
        <v>153</v>
      </c>
      <c r="F61" t="s">
        <v>170</v>
      </c>
      <c r="G61" t="s">
        <v>155</v>
      </c>
      <c r="H61">
        <v>277.95999999999998</v>
      </c>
      <c r="J61">
        <f>CEILING((Query1[[#This Row],[Cost Price ( MYR )]] / (1 - _xlfn.XLOOKUP(Query1[[#This Row],[Business Unit]], Margins!A:A, Margins!C:C))) * (1 - _xlfn.XLOOKUP(Query1[[#This Row],[Business Unit]], Margins!A:A, Margins!D:D)),5)</f>
        <v>495</v>
      </c>
    </row>
    <row r="62" spans="1:10" x14ac:dyDescent="0.35">
      <c r="A62" t="s">
        <v>171</v>
      </c>
      <c r="B62" t="s">
        <v>172</v>
      </c>
      <c r="C62" t="s">
        <v>11</v>
      </c>
      <c r="D62" t="s">
        <v>152</v>
      </c>
      <c r="E62" t="s">
        <v>153</v>
      </c>
      <c r="F62" t="s">
        <v>173</v>
      </c>
      <c r="G62" t="s">
        <v>155</v>
      </c>
      <c r="H62">
        <v>314</v>
      </c>
      <c r="J62">
        <f>CEILING((Query1[[#This Row],[Cost Price ( MYR )]] / (1 - _xlfn.XLOOKUP(Query1[[#This Row],[Business Unit]], Margins!A:A, Margins!C:C))) * (1 - _xlfn.XLOOKUP(Query1[[#This Row],[Business Unit]], Margins!A:A, Margins!D:D)),5)</f>
        <v>560</v>
      </c>
    </row>
    <row r="63" spans="1:10" x14ac:dyDescent="0.35">
      <c r="A63" t="s">
        <v>174</v>
      </c>
      <c r="B63" t="s">
        <v>175</v>
      </c>
      <c r="C63" t="s">
        <v>11</v>
      </c>
      <c r="D63" t="s">
        <v>152</v>
      </c>
      <c r="E63" t="s">
        <v>153</v>
      </c>
      <c r="F63" t="s">
        <v>176</v>
      </c>
      <c r="G63" t="s">
        <v>155</v>
      </c>
      <c r="H63">
        <v>314</v>
      </c>
      <c r="J63">
        <f>CEILING((Query1[[#This Row],[Cost Price ( MYR )]] / (1 - _xlfn.XLOOKUP(Query1[[#This Row],[Business Unit]], Margins!A:A, Margins!C:C))) * (1 - _xlfn.XLOOKUP(Query1[[#This Row],[Business Unit]], Margins!A:A, Margins!D:D)),5)</f>
        <v>560</v>
      </c>
    </row>
    <row r="64" spans="1:10" x14ac:dyDescent="0.35">
      <c r="A64" t="s">
        <v>177</v>
      </c>
      <c r="B64" t="s">
        <v>178</v>
      </c>
      <c r="C64" t="s">
        <v>11</v>
      </c>
      <c r="D64" t="s">
        <v>152</v>
      </c>
      <c r="E64" t="s">
        <v>153</v>
      </c>
      <c r="F64" t="s">
        <v>179</v>
      </c>
      <c r="G64" t="s">
        <v>155</v>
      </c>
      <c r="H64">
        <v>314</v>
      </c>
      <c r="J64">
        <f>CEILING((Query1[[#This Row],[Cost Price ( MYR )]] / (1 - _xlfn.XLOOKUP(Query1[[#This Row],[Business Unit]], Margins!A:A, Margins!C:C))) * (1 - _xlfn.XLOOKUP(Query1[[#This Row],[Business Unit]], Margins!A:A, Margins!D:D)),5)</f>
        <v>560</v>
      </c>
    </row>
    <row r="65" spans="1:10" x14ac:dyDescent="0.35">
      <c r="A65" t="s">
        <v>180</v>
      </c>
      <c r="B65" t="s">
        <v>181</v>
      </c>
      <c r="C65" t="s">
        <v>11</v>
      </c>
      <c r="D65" t="s">
        <v>152</v>
      </c>
      <c r="E65" t="s">
        <v>153</v>
      </c>
      <c r="F65" t="s">
        <v>182</v>
      </c>
      <c r="G65" t="s">
        <v>155</v>
      </c>
      <c r="H65">
        <v>374.3</v>
      </c>
      <c r="J65">
        <f>CEILING((Query1[[#This Row],[Cost Price ( MYR )]] / (1 - _xlfn.XLOOKUP(Query1[[#This Row],[Business Unit]], Margins!A:A, Margins!C:C))) * (1 - _xlfn.XLOOKUP(Query1[[#This Row],[Business Unit]], Margins!A:A, Margins!D:D)),5)</f>
        <v>670</v>
      </c>
    </row>
    <row r="66" spans="1:10" x14ac:dyDescent="0.35">
      <c r="A66" t="s">
        <v>183</v>
      </c>
      <c r="B66" t="s">
        <v>184</v>
      </c>
      <c r="C66" t="s">
        <v>11</v>
      </c>
      <c r="D66" t="s">
        <v>152</v>
      </c>
      <c r="E66" t="s">
        <v>153</v>
      </c>
      <c r="F66" t="s">
        <v>185</v>
      </c>
      <c r="G66" t="s">
        <v>155</v>
      </c>
      <c r="H66">
        <v>0</v>
      </c>
      <c r="J6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67" spans="1:10" x14ac:dyDescent="0.35">
      <c r="A67" t="s">
        <v>186</v>
      </c>
      <c r="B67" t="s">
        <v>187</v>
      </c>
      <c r="C67" t="s">
        <v>11</v>
      </c>
      <c r="D67" t="s">
        <v>152</v>
      </c>
      <c r="E67" t="s">
        <v>153</v>
      </c>
      <c r="F67" t="s">
        <v>188</v>
      </c>
      <c r="G67" t="s">
        <v>155</v>
      </c>
      <c r="H67">
        <v>0</v>
      </c>
      <c r="J6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68" spans="1:10" x14ac:dyDescent="0.35">
      <c r="A68" t="s">
        <v>189</v>
      </c>
      <c r="B68" t="s">
        <v>190</v>
      </c>
      <c r="C68" t="s">
        <v>11</v>
      </c>
      <c r="D68" t="s">
        <v>152</v>
      </c>
      <c r="E68" t="s">
        <v>153</v>
      </c>
      <c r="F68" t="s">
        <v>191</v>
      </c>
      <c r="G68" t="s">
        <v>155</v>
      </c>
      <c r="H68">
        <v>330.78</v>
      </c>
      <c r="J68">
        <f>CEILING((Query1[[#This Row],[Cost Price ( MYR )]] / (1 - _xlfn.XLOOKUP(Query1[[#This Row],[Business Unit]], Margins!A:A, Margins!C:C))) * (1 - _xlfn.XLOOKUP(Query1[[#This Row],[Business Unit]], Margins!A:A, Margins!D:D)),5)</f>
        <v>590</v>
      </c>
    </row>
    <row r="69" spans="1:10" x14ac:dyDescent="0.35">
      <c r="A69" t="s">
        <v>192</v>
      </c>
      <c r="B69" t="s">
        <v>193</v>
      </c>
      <c r="C69" t="s">
        <v>11</v>
      </c>
      <c r="D69" t="s">
        <v>152</v>
      </c>
      <c r="E69" t="s">
        <v>153</v>
      </c>
      <c r="F69" t="s">
        <v>194</v>
      </c>
      <c r="G69" t="s">
        <v>155</v>
      </c>
      <c r="H69">
        <v>330</v>
      </c>
      <c r="J69">
        <f>CEILING((Query1[[#This Row],[Cost Price ( MYR )]] / (1 - _xlfn.XLOOKUP(Query1[[#This Row],[Business Unit]], Margins!A:A, Margins!C:C))) * (1 - _xlfn.XLOOKUP(Query1[[#This Row],[Business Unit]], Margins!A:A, Margins!D:D)),5)</f>
        <v>590</v>
      </c>
    </row>
    <row r="70" spans="1:10" x14ac:dyDescent="0.35">
      <c r="A70" t="s">
        <v>195</v>
      </c>
      <c r="B70" t="s">
        <v>196</v>
      </c>
      <c r="C70" t="s">
        <v>11</v>
      </c>
      <c r="D70" t="s">
        <v>152</v>
      </c>
      <c r="E70" t="s">
        <v>153</v>
      </c>
      <c r="F70" t="s">
        <v>197</v>
      </c>
      <c r="G70" t="s">
        <v>155</v>
      </c>
      <c r="H70">
        <v>330</v>
      </c>
      <c r="J70">
        <f>CEILING((Query1[[#This Row],[Cost Price ( MYR )]] / (1 - _xlfn.XLOOKUP(Query1[[#This Row],[Business Unit]], Margins!A:A, Margins!C:C))) * (1 - _xlfn.XLOOKUP(Query1[[#This Row],[Business Unit]], Margins!A:A, Margins!D:D)),5)</f>
        <v>590</v>
      </c>
    </row>
    <row r="71" spans="1:10" x14ac:dyDescent="0.35">
      <c r="A71" t="s">
        <v>198</v>
      </c>
      <c r="B71" t="s">
        <v>199</v>
      </c>
      <c r="C71" t="s">
        <v>11</v>
      </c>
      <c r="D71" t="s">
        <v>152</v>
      </c>
      <c r="E71" t="s">
        <v>153</v>
      </c>
      <c r="F71" t="s">
        <v>200</v>
      </c>
      <c r="G71" t="s">
        <v>155</v>
      </c>
      <c r="H71">
        <v>341</v>
      </c>
      <c r="J71">
        <f>CEILING((Query1[[#This Row],[Cost Price ( MYR )]] / (1 - _xlfn.XLOOKUP(Query1[[#This Row],[Business Unit]], Margins!A:A, Margins!C:C))) * (1 - _xlfn.XLOOKUP(Query1[[#This Row],[Business Unit]], Margins!A:A, Margins!D:D)),5)</f>
        <v>610</v>
      </c>
    </row>
    <row r="72" spans="1:10" x14ac:dyDescent="0.35">
      <c r="A72" t="s">
        <v>201</v>
      </c>
      <c r="B72" t="s">
        <v>202</v>
      </c>
      <c r="C72" t="s">
        <v>11</v>
      </c>
      <c r="D72" t="s">
        <v>152</v>
      </c>
      <c r="E72" t="s">
        <v>153</v>
      </c>
      <c r="F72" t="s">
        <v>203</v>
      </c>
      <c r="G72" t="s">
        <v>155</v>
      </c>
      <c r="H72">
        <v>341.51</v>
      </c>
      <c r="J72">
        <f>CEILING((Query1[[#This Row],[Cost Price ( MYR )]] / (1 - _xlfn.XLOOKUP(Query1[[#This Row],[Business Unit]], Margins!A:A, Margins!C:C))) * (1 - _xlfn.XLOOKUP(Query1[[#This Row],[Business Unit]], Margins!A:A, Margins!D:D)),5)</f>
        <v>610</v>
      </c>
    </row>
    <row r="73" spans="1:10" x14ac:dyDescent="0.35">
      <c r="A73" t="s">
        <v>204</v>
      </c>
      <c r="B73" t="s">
        <v>205</v>
      </c>
      <c r="C73" t="s">
        <v>11</v>
      </c>
      <c r="D73" t="s">
        <v>152</v>
      </c>
      <c r="E73" t="s">
        <v>153</v>
      </c>
      <c r="F73" t="s">
        <v>206</v>
      </c>
      <c r="G73" t="s">
        <v>155</v>
      </c>
      <c r="H73">
        <v>341</v>
      </c>
      <c r="J73">
        <f>CEILING((Query1[[#This Row],[Cost Price ( MYR )]] / (1 - _xlfn.XLOOKUP(Query1[[#This Row],[Business Unit]], Margins!A:A, Margins!C:C))) * (1 - _xlfn.XLOOKUP(Query1[[#This Row],[Business Unit]], Margins!A:A, Margins!D:D)),5)</f>
        <v>610</v>
      </c>
    </row>
    <row r="74" spans="1:10" x14ac:dyDescent="0.35">
      <c r="A74" t="s">
        <v>207</v>
      </c>
      <c r="B74" t="s">
        <v>208</v>
      </c>
      <c r="C74" t="s">
        <v>11</v>
      </c>
      <c r="D74" t="s">
        <v>152</v>
      </c>
      <c r="E74" t="s">
        <v>153</v>
      </c>
      <c r="F74" t="s">
        <v>209</v>
      </c>
      <c r="G74" t="s">
        <v>155</v>
      </c>
      <c r="H74">
        <v>433</v>
      </c>
      <c r="J74">
        <f>CEILING((Query1[[#This Row],[Cost Price ( MYR )]] / (1 - _xlfn.XLOOKUP(Query1[[#This Row],[Business Unit]], Margins!A:A, Margins!C:C))) * (1 - _xlfn.XLOOKUP(Query1[[#This Row],[Business Unit]], Margins!A:A, Margins!D:D)),5)</f>
        <v>775</v>
      </c>
    </row>
    <row r="75" spans="1:10" x14ac:dyDescent="0.35">
      <c r="A75" t="s">
        <v>210</v>
      </c>
      <c r="B75" t="s">
        <v>211</v>
      </c>
      <c r="C75" t="s">
        <v>11</v>
      </c>
      <c r="D75" t="s">
        <v>152</v>
      </c>
      <c r="E75" t="s">
        <v>153</v>
      </c>
      <c r="F75" t="s">
        <v>212</v>
      </c>
      <c r="G75" t="s">
        <v>155</v>
      </c>
      <c r="H75">
        <v>359.92</v>
      </c>
      <c r="J75">
        <f>CEILING((Query1[[#This Row],[Cost Price ( MYR )]] / (1 - _xlfn.XLOOKUP(Query1[[#This Row],[Business Unit]], Margins!A:A, Margins!C:C))) * (1 - _xlfn.XLOOKUP(Query1[[#This Row],[Business Unit]], Margins!A:A, Margins!D:D)),5)</f>
        <v>645</v>
      </c>
    </row>
    <row r="76" spans="1:10" x14ac:dyDescent="0.35">
      <c r="A76" t="s">
        <v>213</v>
      </c>
      <c r="B76" t="s">
        <v>214</v>
      </c>
      <c r="C76" t="s">
        <v>11</v>
      </c>
      <c r="D76" t="s">
        <v>152</v>
      </c>
      <c r="E76" t="s">
        <v>153</v>
      </c>
      <c r="F76" t="s">
        <v>215</v>
      </c>
      <c r="G76" t="s">
        <v>155</v>
      </c>
      <c r="H76">
        <v>0</v>
      </c>
      <c r="J7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77" spans="1:10" x14ac:dyDescent="0.35">
      <c r="A77" t="s">
        <v>216</v>
      </c>
      <c r="B77" t="s">
        <v>217</v>
      </c>
      <c r="C77" t="s">
        <v>11</v>
      </c>
      <c r="D77" t="s">
        <v>152</v>
      </c>
      <c r="E77" t="s">
        <v>153</v>
      </c>
      <c r="F77" t="s">
        <v>218</v>
      </c>
      <c r="G77" t="s">
        <v>155</v>
      </c>
      <c r="H77">
        <v>404</v>
      </c>
      <c r="J77">
        <f>CEILING((Query1[[#This Row],[Cost Price ( MYR )]] / (1 - _xlfn.XLOOKUP(Query1[[#This Row],[Business Unit]], Margins!A:A, Margins!C:C))) * (1 - _xlfn.XLOOKUP(Query1[[#This Row],[Business Unit]], Margins!A:A, Margins!D:D)),5)</f>
        <v>720</v>
      </c>
    </row>
    <row r="78" spans="1:10" x14ac:dyDescent="0.35">
      <c r="A78" t="s">
        <v>219</v>
      </c>
      <c r="B78" t="s">
        <v>220</v>
      </c>
      <c r="C78" t="s">
        <v>11</v>
      </c>
      <c r="D78" t="s">
        <v>152</v>
      </c>
      <c r="E78" t="s">
        <v>153</v>
      </c>
      <c r="F78" t="s">
        <v>221</v>
      </c>
      <c r="G78" t="s">
        <v>155</v>
      </c>
      <c r="H78">
        <v>404.61</v>
      </c>
      <c r="J78">
        <f>CEILING((Query1[[#This Row],[Cost Price ( MYR )]] / (1 - _xlfn.XLOOKUP(Query1[[#This Row],[Business Unit]], Margins!A:A, Margins!C:C))) * (1 - _xlfn.XLOOKUP(Query1[[#This Row],[Business Unit]], Margins!A:A, Margins!D:D)),5)</f>
        <v>720</v>
      </c>
    </row>
    <row r="79" spans="1:10" x14ac:dyDescent="0.35">
      <c r="A79" t="s">
        <v>222</v>
      </c>
      <c r="B79" t="s">
        <v>223</v>
      </c>
      <c r="C79" t="s">
        <v>11</v>
      </c>
      <c r="D79" t="s">
        <v>152</v>
      </c>
      <c r="E79" t="s">
        <v>153</v>
      </c>
      <c r="F79" t="s">
        <v>224</v>
      </c>
      <c r="G79" t="s">
        <v>155</v>
      </c>
      <c r="H79">
        <v>0</v>
      </c>
      <c r="J7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80" spans="1:10" x14ac:dyDescent="0.35">
      <c r="A80" t="s">
        <v>225</v>
      </c>
      <c r="B80" t="s">
        <v>226</v>
      </c>
      <c r="C80" t="s">
        <v>11</v>
      </c>
      <c r="D80" t="s">
        <v>152</v>
      </c>
      <c r="E80" t="s">
        <v>153</v>
      </c>
      <c r="F80" t="s">
        <v>227</v>
      </c>
      <c r="G80" t="s">
        <v>155</v>
      </c>
      <c r="H80">
        <v>610</v>
      </c>
      <c r="J80">
        <f>CEILING((Query1[[#This Row],[Cost Price ( MYR )]] / (1 - _xlfn.XLOOKUP(Query1[[#This Row],[Business Unit]], Margins!A:A, Margins!C:C))) * (1 - _xlfn.XLOOKUP(Query1[[#This Row],[Business Unit]], Margins!A:A, Margins!D:D)),5)</f>
        <v>1085</v>
      </c>
    </row>
    <row r="81" spans="1:10" x14ac:dyDescent="0.35">
      <c r="A81" t="s">
        <v>228</v>
      </c>
      <c r="B81" t="s">
        <v>229</v>
      </c>
      <c r="C81" t="s">
        <v>11</v>
      </c>
      <c r="D81" t="s">
        <v>152</v>
      </c>
      <c r="E81" t="s">
        <v>153</v>
      </c>
      <c r="F81" t="s">
        <v>230</v>
      </c>
      <c r="G81" t="s">
        <v>155</v>
      </c>
      <c r="H81">
        <v>0</v>
      </c>
      <c r="J8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82" spans="1:10" x14ac:dyDescent="0.35">
      <c r="A82" t="s">
        <v>231</v>
      </c>
      <c r="B82" t="s">
        <v>232</v>
      </c>
      <c r="C82" t="s">
        <v>11</v>
      </c>
      <c r="D82" t="s">
        <v>152</v>
      </c>
      <c r="E82" t="s">
        <v>153</v>
      </c>
      <c r="F82" t="s">
        <v>233</v>
      </c>
      <c r="G82" t="s">
        <v>234</v>
      </c>
      <c r="H82">
        <v>404.61</v>
      </c>
      <c r="J82">
        <f>CEILING((Query1[[#This Row],[Cost Price ( MYR )]] / (1 - _xlfn.XLOOKUP(Query1[[#This Row],[Business Unit]], Margins!A:A, Margins!C:C))) * (1 - _xlfn.XLOOKUP(Query1[[#This Row],[Business Unit]], Margins!A:A, Margins!D:D)),5)</f>
        <v>720</v>
      </c>
    </row>
    <row r="83" spans="1:10" x14ac:dyDescent="0.35">
      <c r="A83" t="s">
        <v>235</v>
      </c>
      <c r="B83" t="s">
        <v>236</v>
      </c>
      <c r="C83" t="s">
        <v>11</v>
      </c>
      <c r="D83" t="s">
        <v>152</v>
      </c>
      <c r="E83" t="s">
        <v>153</v>
      </c>
      <c r="F83" t="s">
        <v>237</v>
      </c>
      <c r="G83" t="s">
        <v>155</v>
      </c>
      <c r="H83">
        <v>446.78</v>
      </c>
      <c r="J83">
        <f>CEILING((Query1[[#This Row],[Cost Price ( MYR )]] / (1 - _xlfn.XLOOKUP(Query1[[#This Row],[Business Unit]], Margins!A:A, Margins!C:C))) * (1 - _xlfn.XLOOKUP(Query1[[#This Row],[Business Unit]], Margins!A:A, Margins!D:D)),5)</f>
        <v>795</v>
      </c>
    </row>
    <row r="84" spans="1:10" x14ac:dyDescent="0.35">
      <c r="A84" t="s">
        <v>238</v>
      </c>
      <c r="B84" t="s">
        <v>239</v>
      </c>
      <c r="C84" t="s">
        <v>11</v>
      </c>
      <c r="D84" t="s">
        <v>152</v>
      </c>
      <c r="E84" t="s">
        <v>240</v>
      </c>
      <c r="F84" t="s">
        <v>241</v>
      </c>
      <c r="G84" t="s">
        <v>234</v>
      </c>
      <c r="H84">
        <v>675.6</v>
      </c>
      <c r="J84">
        <f>CEILING((Query1[[#This Row],[Cost Price ( MYR )]] / (1 - _xlfn.XLOOKUP(Query1[[#This Row],[Business Unit]], Margins!A:A, Margins!C:C))) * (1 - _xlfn.XLOOKUP(Query1[[#This Row],[Business Unit]], Margins!A:A, Margins!D:D)),5)</f>
        <v>1205</v>
      </c>
    </row>
    <row r="85" spans="1:10" x14ac:dyDescent="0.35">
      <c r="A85" t="s">
        <v>242</v>
      </c>
      <c r="B85" t="s">
        <v>243</v>
      </c>
      <c r="C85" t="s">
        <v>11</v>
      </c>
      <c r="D85" t="s">
        <v>152</v>
      </c>
      <c r="E85" t="s">
        <v>240</v>
      </c>
      <c r="F85" t="s">
        <v>244</v>
      </c>
      <c r="G85" t="s">
        <v>234</v>
      </c>
      <c r="H85">
        <v>529.86</v>
      </c>
      <c r="J85">
        <f>CEILING((Query1[[#This Row],[Cost Price ( MYR )]] / (1 - _xlfn.XLOOKUP(Query1[[#This Row],[Business Unit]], Margins!A:A, Margins!C:C))) * (1 - _xlfn.XLOOKUP(Query1[[#This Row],[Business Unit]], Margins!A:A, Margins!D:D)),5)</f>
        <v>945</v>
      </c>
    </row>
    <row r="86" spans="1:10" x14ac:dyDescent="0.35">
      <c r="B86" t="s">
        <v>245</v>
      </c>
      <c r="C86" t="s">
        <v>11</v>
      </c>
      <c r="D86" t="s">
        <v>152</v>
      </c>
      <c r="E86" t="s">
        <v>246</v>
      </c>
      <c r="F86" t="s">
        <v>247</v>
      </c>
      <c r="G86" t="s">
        <v>248</v>
      </c>
      <c r="J8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87" spans="1:10" x14ac:dyDescent="0.35">
      <c r="B87" t="s">
        <v>249</v>
      </c>
      <c r="C87" t="s">
        <v>11</v>
      </c>
      <c r="D87" t="s">
        <v>152</v>
      </c>
      <c r="E87" t="s">
        <v>246</v>
      </c>
      <c r="F87" t="s">
        <v>250</v>
      </c>
      <c r="G87" t="s">
        <v>251</v>
      </c>
      <c r="J8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88" spans="1:10" x14ac:dyDescent="0.35">
      <c r="B88" t="s">
        <v>252</v>
      </c>
      <c r="C88" t="s">
        <v>11</v>
      </c>
      <c r="D88" t="s">
        <v>152</v>
      </c>
      <c r="E88" t="s">
        <v>246</v>
      </c>
      <c r="F88" t="s">
        <v>253</v>
      </c>
      <c r="G88" t="s">
        <v>254</v>
      </c>
      <c r="J8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89" spans="1:10" x14ac:dyDescent="0.35">
      <c r="A89" t="s">
        <v>255</v>
      </c>
      <c r="B89" t="s">
        <v>256</v>
      </c>
      <c r="C89" t="s">
        <v>11</v>
      </c>
      <c r="D89" t="s">
        <v>152</v>
      </c>
      <c r="E89" t="s">
        <v>246</v>
      </c>
      <c r="F89" t="s">
        <v>257</v>
      </c>
      <c r="H89">
        <v>0</v>
      </c>
      <c r="J8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90" spans="1:10" x14ac:dyDescent="0.35">
      <c r="A90" t="s">
        <v>258</v>
      </c>
      <c r="B90" t="s">
        <v>259</v>
      </c>
      <c r="C90" t="s">
        <v>11</v>
      </c>
      <c r="D90" t="s">
        <v>152</v>
      </c>
      <c r="E90" t="s">
        <v>246</v>
      </c>
      <c r="F90" t="s">
        <v>260</v>
      </c>
      <c r="G90" t="s">
        <v>261</v>
      </c>
      <c r="H90">
        <v>23.83</v>
      </c>
      <c r="J90">
        <f>CEILING((Query1[[#This Row],[Cost Price ( MYR )]] / (1 - _xlfn.XLOOKUP(Query1[[#This Row],[Business Unit]], Margins!A:A, Margins!C:C))) * (1 - _xlfn.XLOOKUP(Query1[[#This Row],[Business Unit]], Margins!A:A, Margins!D:D)),5)</f>
        <v>45</v>
      </c>
    </row>
    <row r="91" spans="1:10" x14ac:dyDescent="0.35">
      <c r="A91" t="s">
        <v>262</v>
      </c>
      <c r="B91" t="s">
        <v>263</v>
      </c>
      <c r="C91" t="s">
        <v>11</v>
      </c>
      <c r="D91" t="s">
        <v>152</v>
      </c>
      <c r="E91" t="s">
        <v>246</v>
      </c>
      <c r="F91" t="s">
        <v>264</v>
      </c>
      <c r="G91" t="s">
        <v>261</v>
      </c>
      <c r="H91">
        <v>94.29</v>
      </c>
      <c r="J91">
        <f>CEILING((Query1[[#This Row],[Cost Price ( MYR )]] / (1 - _xlfn.XLOOKUP(Query1[[#This Row],[Business Unit]], Margins!A:A, Margins!C:C))) * (1 - _xlfn.XLOOKUP(Query1[[#This Row],[Business Unit]], Margins!A:A, Margins!D:D)),5)</f>
        <v>170</v>
      </c>
    </row>
    <row r="92" spans="1:10" x14ac:dyDescent="0.35">
      <c r="A92" t="s">
        <v>265</v>
      </c>
      <c r="B92" t="s">
        <v>266</v>
      </c>
      <c r="C92" t="s">
        <v>11</v>
      </c>
      <c r="D92" t="s">
        <v>152</v>
      </c>
      <c r="E92" t="s">
        <v>267</v>
      </c>
      <c r="F92" t="s">
        <v>268</v>
      </c>
      <c r="G92" t="s">
        <v>234</v>
      </c>
      <c r="H92">
        <v>349.08</v>
      </c>
      <c r="J92">
        <f>CEILING((Query1[[#This Row],[Cost Price ( MYR )]] / (1 - _xlfn.XLOOKUP(Query1[[#This Row],[Business Unit]], Margins!A:A, Margins!C:C))) * (1 - _xlfn.XLOOKUP(Query1[[#This Row],[Business Unit]], Margins!A:A, Margins!D:D)),5)</f>
        <v>625</v>
      </c>
    </row>
    <row r="93" spans="1:10" x14ac:dyDescent="0.35">
      <c r="A93" t="s">
        <v>269</v>
      </c>
      <c r="B93" t="s">
        <v>270</v>
      </c>
      <c r="C93" t="s">
        <v>11</v>
      </c>
      <c r="D93" t="s">
        <v>152</v>
      </c>
      <c r="E93" t="s">
        <v>267</v>
      </c>
      <c r="F93" t="s">
        <v>271</v>
      </c>
      <c r="G93" t="s">
        <v>234</v>
      </c>
      <c r="H93">
        <v>0</v>
      </c>
      <c r="J9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94" spans="1:10" x14ac:dyDescent="0.35">
      <c r="A94" t="s">
        <v>272</v>
      </c>
      <c r="B94" t="s">
        <v>273</v>
      </c>
      <c r="C94" t="s">
        <v>11</v>
      </c>
      <c r="D94" t="s">
        <v>152</v>
      </c>
      <c r="E94" t="s">
        <v>267</v>
      </c>
      <c r="F94" t="s">
        <v>274</v>
      </c>
      <c r="G94" t="s">
        <v>234</v>
      </c>
      <c r="H94">
        <v>0</v>
      </c>
      <c r="J9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95" spans="1:10" x14ac:dyDescent="0.35">
      <c r="A95" t="s">
        <v>275</v>
      </c>
      <c r="B95" t="s">
        <v>276</v>
      </c>
      <c r="C95" t="s">
        <v>11</v>
      </c>
      <c r="D95" t="s">
        <v>152</v>
      </c>
      <c r="E95" t="s">
        <v>267</v>
      </c>
      <c r="F95" t="s">
        <v>277</v>
      </c>
      <c r="G95" t="s">
        <v>234</v>
      </c>
      <c r="H95">
        <v>0</v>
      </c>
      <c r="J9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96" spans="1:10" x14ac:dyDescent="0.35">
      <c r="A96" t="s">
        <v>278</v>
      </c>
      <c r="B96" t="s">
        <v>279</v>
      </c>
      <c r="C96" t="s">
        <v>11</v>
      </c>
      <c r="D96" t="s">
        <v>152</v>
      </c>
      <c r="E96" t="s">
        <v>267</v>
      </c>
      <c r="F96" t="s">
        <v>280</v>
      </c>
      <c r="G96" t="s">
        <v>234</v>
      </c>
      <c r="H96">
        <v>0</v>
      </c>
      <c r="J9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97" spans="1:10" x14ac:dyDescent="0.35">
      <c r="A97" t="s">
        <v>281</v>
      </c>
      <c r="B97" t="s">
        <v>282</v>
      </c>
      <c r="C97" t="s">
        <v>11</v>
      </c>
      <c r="D97" t="s">
        <v>152</v>
      </c>
      <c r="E97" t="s">
        <v>246</v>
      </c>
      <c r="F97" t="s">
        <v>283</v>
      </c>
      <c r="H97">
        <v>123.65</v>
      </c>
      <c r="J97">
        <f>CEILING((Query1[[#This Row],[Cost Price ( MYR )]] / (1 - _xlfn.XLOOKUP(Query1[[#This Row],[Business Unit]], Margins!A:A, Margins!C:C))) * (1 - _xlfn.XLOOKUP(Query1[[#This Row],[Business Unit]], Margins!A:A, Margins!D:D)),5)</f>
        <v>220</v>
      </c>
    </row>
    <row r="98" spans="1:10" x14ac:dyDescent="0.35">
      <c r="A98" t="s">
        <v>284</v>
      </c>
      <c r="B98" t="s">
        <v>285</v>
      </c>
      <c r="C98" t="s">
        <v>11</v>
      </c>
      <c r="D98" t="s">
        <v>152</v>
      </c>
      <c r="E98" t="s">
        <v>246</v>
      </c>
      <c r="F98" t="s">
        <v>286</v>
      </c>
      <c r="H98">
        <v>32.99</v>
      </c>
      <c r="J98">
        <f>CEILING((Query1[[#This Row],[Cost Price ( MYR )]] / (1 - _xlfn.XLOOKUP(Query1[[#This Row],[Business Unit]], Margins!A:A, Margins!C:C))) * (1 - _xlfn.XLOOKUP(Query1[[#This Row],[Business Unit]], Margins!A:A, Margins!D:D)),5)</f>
        <v>60</v>
      </c>
    </row>
    <row r="99" spans="1:10" x14ac:dyDescent="0.35">
      <c r="A99" t="s">
        <v>287</v>
      </c>
      <c r="B99" t="s">
        <v>288</v>
      </c>
      <c r="C99" t="s">
        <v>11</v>
      </c>
      <c r="D99" t="s">
        <v>152</v>
      </c>
      <c r="E99" t="s">
        <v>246</v>
      </c>
      <c r="F99" t="s">
        <v>289</v>
      </c>
      <c r="H99">
        <v>370</v>
      </c>
      <c r="J99">
        <f>CEILING((Query1[[#This Row],[Cost Price ( MYR )]] / (1 - _xlfn.XLOOKUP(Query1[[#This Row],[Business Unit]], Margins!A:A, Margins!C:C))) * (1 - _xlfn.XLOOKUP(Query1[[#This Row],[Business Unit]], Margins!A:A, Margins!D:D)),5)</f>
        <v>660</v>
      </c>
    </row>
    <row r="100" spans="1:10" x14ac:dyDescent="0.35">
      <c r="A100" t="s">
        <v>290</v>
      </c>
      <c r="B100" t="s">
        <v>291</v>
      </c>
      <c r="C100" t="s">
        <v>11</v>
      </c>
      <c r="D100" t="s">
        <v>152</v>
      </c>
      <c r="E100" t="s">
        <v>153</v>
      </c>
      <c r="F100" t="s">
        <v>292</v>
      </c>
      <c r="G100" t="s">
        <v>234</v>
      </c>
      <c r="H100">
        <v>1055.0899999999999</v>
      </c>
      <c r="J100">
        <f>CEILING((Query1[[#This Row],[Cost Price ( MYR )]] / (1 - _xlfn.XLOOKUP(Query1[[#This Row],[Business Unit]], Margins!A:A, Margins!C:C))) * (1 - _xlfn.XLOOKUP(Query1[[#This Row],[Business Unit]], Margins!A:A, Margins!D:D)),5)</f>
        <v>1880</v>
      </c>
    </row>
    <row r="101" spans="1:10" x14ac:dyDescent="0.35">
      <c r="A101" t="s">
        <v>293</v>
      </c>
      <c r="B101" t="s">
        <v>294</v>
      </c>
      <c r="C101" t="s">
        <v>11</v>
      </c>
      <c r="D101" t="s">
        <v>152</v>
      </c>
      <c r="E101" t="s">
        <v>153</v>
      </c>
      <c r="F101" t="s">
        <v>295</v>
      </c>
      <c r="G101" t="s">
        <v>234</v>
      </c>
      <c r="H101">
        <v>1561.82</v>
      </c>
      <c r="J101">
        <f>CEILING((Query1[[#This Row],[Cost Price ( MYR )]] / (1 - _xlfn.XLOOKUP(Query1[[#This Row],[Business Unit]], Margins!A:A, Margins!C:C))) * (1 - _xlfn.XLOOKUP(Query1[[#This Row],[Business Unit]], Margins!A:A, Margins!D:D)),5)</f>
        <v>2780</v>
      </c>
    </row>
    <row r="102" spans="1:10" x14ac:dyDescent="0.35">
      <c r="A102" t="s">
        <v>296</v>
      </c>
      <c r="B102" t="s">
        <v>297</v>
      </c>
      <c r="C102" t="s">
        <v>11</v>
      </c>
      <c r="D102" t="s">
        <v>152</v>
      </c>
      <c r="E102" t="s">
        <v>153</v>
      </c>
      <c r="F102" t="s">
        <v>298</v>
      </c>
      <c r="G102" t="s">
        <v>234</v>
      </c>
      <c r="H102">
        <v>1116.44</v>
      </c>
      <c r="J102">
        <f>CEILING((Query1[[#This Row],[Cost Price ( MYR )]] / (1 - _xlfn.XLOOKUP(Query1[[#This Row],[Business Unit]], Margins!A:A, Margins!C:C))) * (1 - _xlfn.XLOOKUP(Query1[[#This Row],[Business Unit]], Margins!A:A, Margins!D:D)),5)</f>
        <v>1990</v>
      </c>
    </row>
    <row r="103" spans="1:10" x14ac:dyDescent="0.35">
      <c r="A103" t="s">
        <v>299</v>
      </c>
      <c r="B103" t="s">
        <v>300</v>
      </c>
      <c r="C103" t="s">
        <v>11</v>
      </c>
      <c r="D103" t="s">
        <v>152</v>
      </c>
      <c r="E103" t="s">
        <v>153</v>
      </c>
      <c r="F103" t="s">
        <v>301</v>
      </c>
      <c r="G103" t="s">
        <v>234</v>
      </c>
      <c r="H103">
        <v>1500.45</v>
      </c>
      <c r="J103">
        <f>CEILING((Query1[[#This Row],[Cost Price ( MYR )]] / (1 - _xlfn.XLOOKUP(Query1[[#This Row],[Business Unit]], Margins!A:A, Margins!C:C))) * (1 - _xlfn.XLOOKUP(Query1[[#This Row],[Business Unit]], Margins!A:A, Margins!D:D)),5)</f>
        <v>2670</v>
      </c>
    </row>
    <row r="104" spans="1:10" x14ac:dyDescent="0.35">
      <c r="A104" t="s">
        <v>302</v>
      </c>
      <c r="B104" t="s">
        <v>303</v>
      </c>
      <c r="C104" t="s">
        <v>11</v>
      </c>
      <c r="D104" t="s">
        <v>152</v>
      </c>
      <c r="E104" t="s">
        <v>153</v>
      </c>
      <c r="F104" t="s">
        <v>304</v>
      </c>
      <c r="G104" t="s">
        <v>234</v>
      </c>
      <c r="H104">
        <v>0</v>
      </c>
      <c r="J10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05" spans="1:10" x14ac:dyDescent="0.35">
      <c r="A105" t="s">
        <v>305</v>
      </c>
      <c r="B105" t="s">
        <v>306</v>
      </c>
      <c r="C105" t="s">
        <v>11</v>
      </c>
      <c r="D105" t="s">
        <v>152</v>
      </c>
      <c r="E105" t="s">
        <v>246</v>
      </c>
      <c r="F105" t="s">
        <v>307</v>
      </c>
      <c r="H105">
        <v>0</v>
      </c>
      <c r="J10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06" spans="1:10" x14ac:dyDescent="0.35">
      <c r="A106" t="s">
        <v>308</v>
      </c>
      <c r="B106" t="s">
        <v>309</v>
      </c>
      <c r="C106" t="s">
        <v>11</v>
      </c>
      <c r="D106" t="s">
        <v>152</v>
      </c>
      <c r="E106" t="s">
        <v>246</v>
      </c>
      <c r="F106" t="s">
        <v>310</v>
      </c>
      <c r="H106">
        <v>0</v>
      </c>
      <c r="J10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07" spans="1:10" x14ac:dyDescent="0.35">
      <c r="A107" t="s">
        <v>311</v>
      </c>
      <c r="B107" t="s">
        <v>312</v>
      </c>
      <c r="C107" t="s">
        <v>11</v>
      </c>
      <c r="D107" t="s">
        <v>152</v>
      </c>
      <c r="E107" t="s">
        <v>246</v>
      </c>
      <c r="F107" t="s">
        <v>313</v>
      </c>
      <c r="H107">
        <v>0</v>
      </c>
      <c r="J10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08" spans="1:10" x14ac:dyDescent="0.35">
      <c r="A108" t="s">
        <v>314</v>
      </c>
      <c r="B108" t="s">
        <v>315</v>
      </c>
      <c r="C108" t="s">
        <v>11</v>
      </c>
      <c r="D108" t="s">
        <v>152</v>
      </c>
      <c r="E108" t="s">
        <v>246</v>
      </c>
      <c r="F108" t="s">
        <v>316</v>
      </c>
      <c r="H108">
        <v>0.1</v>
      </c>
      <c r="J108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109" spans="1:10" x14ac:dyDescent="0.35">
      <c r="A109" t="s">
        <v>317</v>
      </c>
      <c r="B109" t="s">
        <v>318</v>
      </c>
      <c r="C109" t="s">
        <v>11</v>
      </c>
      <c r="D109" t="s">
        <v>152</v>
      </c>
      <c r="E109" t="s">
        <v>246</v>
      </c>
      <c r="F109" t="s">
        <v>319</v>
      </c>
      <c r="H109">
        <v>0</v>
      </c>
      <c r="J10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10" spans="1:10" x14ac:dyDescent="0.35">
      <c r="A110" t="s">
        <v>320</v>
      </c>
      <c r="B110" t="s">
        <v>321</v>
      </c>
      <c r="C110" t="s">
        <v>11</v>
      </c>
      <c r="D110" t="s">
        <v>152</v>
      </c>
      <c r="E110" t="s">
        <v>246</v>
      </c>
      <c r="F110" t="s">
        <v>322</v>
      </c>
      <c r="H110">
        <v>34.68</v>
      </c>
      <c r="J110">
        <f>CEILING((Query1[[#This Row],[Cost Price ( MYR )]] / (1 - _xlfn.XLOOKUP(Query1[[#This Row],[Business Unit]], Margins!A:A, Margins!C:C))) * (1 - _xlfn.XLOOKUP(Query1[[#This Row],[Business Unit]], Margins!A:A, Margins!D:D)),5)</f>
        <v>65</v>
      </c>
    </row>
    <row r="111" spans="1:10" x14ac:dyDescent="0.35">
      <c r="A111" t="s">
        <v>323</v>
      </c>
      <c r="B111" t="s">
        <v>324</v>
      </c>
      <c r="C111" t="s">
        <v>325</v>
      </c>
      <c r="D111" t="s">
        <v>326</v>
      </c>
      <c r="E111" t="s">
        <v>327</v>
      </c>
      <c r="F111" t="s">
        <v>328</v>
      </c>
      <c r="G111" t="s">
        <v>15</v>
      </c>
      <c r="H111">
        <v>0</v>
      </c>
      <c r="J11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12" spans="1:10" x14ac:dyDescent="0.35">
      <c r="B112" t="s">
        <v>329</v>
      </c>
      <c r="C112" t="s">
        <v>325</v>
      </c>
      <c r="D112" t="s">
        <v>326</v>
      </c>
      <c r="E112" t="s">
        <v>327</v>
      </c>
      <c r="F112" t="s">
        <v>330</v>
      </c>
      <c r="G112" t="s">
        <v>15</v>
      </c>
      <c r="J11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13" spans="1:10" x14ac:dyDescent="0.35">
      <c r="A113" t="s">
        <v>331</v>
      </c>
      <c r="B113" t="s">
        <v>332</v>
      </c>
      <c r="C113" t="s">
        <v>325</v>
      </c>
      <c r="D113" t="s">
        <v>326</v>
      </c>
      <c r="E113" t="s">
        <v>327</v>
      </c>
      <c r="F113" t="s">
        <v>333</v>
      </c>
      <c r="G113" t="s">
        <v>15</v>
      </c>
      <c r="H113">
        <v>233.14</v>
      </c>
      <c r="J113">
        <f>CEILING((Query1[[#This Row],[Cost Price ( MYR )]] / (1 - _xlfn.XLOOKUP(Query1[[#This Row],[Business Unit]], Margins!A:A, Margins!C:C))) * (1 - _xlfn.XLOOKUP(Query1[[#This Row],[Business Unit]], Margins!A:A, Margins!D:D)),5)</f>
        <v>520</v>
      </c>
    </row>
    <row r="114" spans="1:10" x14ac:dyDescent="0.35">
      <c r="A114" t="s">
        <v>334</v>
      </c>
      <c r="B114" t="s">
        <v>335</v>
      </c>
      <c r="C114" t="s">
        <v>325</v>
      </c>
      <c r="D114" t="s">
        <v>326</v>
      </c>
      <c r="E114" t="s">
        <v>327</v>
      </c>
      <c r="F114" t="s">
        <v>336</v>
      </c>
      <c r="G114" t="s">
        <v>15</v>
      </c>
      <c r="H114">
        <v>100.63</v>
      </c>
      <c r="J114">
        <f>CEILING((Query1[[#This Row],[Cost Price ( MYR )]] / (1 - _xlfn.XLOOKUP(Query1[[#This Row],[Business Unit]], Margins!A:A, Margins!C:C))) * (1 - _xlfn.XLOOKUP(Query1[[#This Row],[Business Unit]], Margins!A:A, Margins!D:D)),5)</f>
        <v>225</v>
      </c>
    </row>
    <row r="115" spans="1:10" x14ac:dyDescent="0.35">
      <c r="B115" t="s">
        <v>337</v>
      </c>
      <c r="C115" t="s">
        <v>325</v>
      </c>
      <c r="D115" t="s">
        <v>326</v>
      </c>
      <c r="E115" t="s">
        <v>327</v>
      </c>
      <c r="F115" t="s">
        <v>338</v>
      </c>
      <c r="G115" t="s">
        <v>15</v>
      </c>
      <c r="J11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16" spans="1:10" x14ac:dyDescent="0.35">
      <c r="B116" t="s">
        <v>339</v>
      </c>
      <c r="C116" t="s">
        <v>325</v>
      </c>
      <c r="D116" t="s">
        <v>326</v>
      </c>
      <c r="E116" t="s">
        <v>327</v>
      </c>
      <c r="F116" t="s">
        <v>340</v>
      </c>
      <c r="G116" t="s">
        <v>15</v>
      </c>
      <c r="J11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17" spans="1:10" x14ac:dyDescent="0.35">
      <c r="B117" t="s">
        <v>341</v>
      </c>
      <c r="C117" t="s">
        <v>325</v>
      </c>
      <c r="D117" t="s">
        <v>326</v>
      </c>
      <c r="E117" t="s">
        <v>327</v>
      </c>
      <c r="F117" t="s">
        <v>342</v>
      </c>
      <c r="G117" t="s">
        <v>15</v>
      </c>
      <c r="J11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18" spans="1:10" x14ac:dyDescent="0.35">
      <c r="A118" t="s">
        <v>343</v>
      </c>
      <c r="B118" t="s">
        <v>344</v>
      </c>
      <c r="C118" t="s">
        <v>325</v>
      </c>
      <c r="D118" t="s">
        <v>326</v>
      </c>
      <c r="E118" t="s">
        <v>327</v>
      </c>
      <c r="F118" t="s">
        <v>345</v>
      </c>
      <c r="G118" t="s">
        <v>15</v>
      </c>
      <c r="H118">
        <v>0</v>
      </c>
      <c r="J11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19" spans="1:10" x14ac:dyDescent="0.35">
      <c r="A119" t="s">
        <v>346</v>
      </c>
      <c r="B119" t="s">
        <v>347</v>
      </c>
      <c r="C119" t="s">
        <v>325</v>
      </c>
      <c r="D119" t="s">
        <v>326</v>
      </c>
      <c r="E119" t="s">
        <v>327</v>
      </c>
      <c r="F119" t="s">
        <v>348</v>
      </c>
      <c r="G119" t="s">
        <v>15</v>
      </c>
      <c r="H119">
        <v>1094.67</v>
      </c>
      <c r="J119">
        <f>CEILING((Query1[[#This Row],[Cost Price ( MYR )]] / (1 - _xlfn.XLOOKUP(Query1[[#This Row],[Business Unit]], Margins!A:A, Margins!C:C))) * (1 - _xlfn.XLOOKUP(Query1[[#This Row],[Business Unit]], Margins!A:A, Margins!D:D)),5)</f>
        <v>2435</v>
      </c>
    </row>
    <row r="120" spans="1:10" x14ac:dyDescent="0.35">
      <c r="A120" t="s">
        <v>349</v>
      </c>
      <c r="B120" t="s">
        <v>350</v>
      </c>
      <c r="C120" t="s">
        <v>325</v>
      </c>
      <c r="D120" t="s">
        <v>326</v>
      </c>
      <c r="E120" t="s">
        <v>327</v>
      </c>
      <c r="F120" t="s">
        <v>351</v>
      </c>
      <c r="G120" t="s">
        <v>15</v>
      </c>
      <c r="H120">
        <v>1111.72</v>
      </c>
      <c r="J120">
        <f>CEILING((Query1[[#This Row],[Cost Price ( MYR )]] / (1 - _xlfn.XLOOKUP(Query1[[#This Row],[Business Unit]], Margins!A:A, Margins!C:C))) * (1 - _xlfn.XLOOKUP(Query1[[#This Row],[Business Unit]], Margins!A:A, Margins!D:D)),5)</f>
        <v>2475</v>
      </c>
    </row>
    <row r="121" spans="1:10" x14ac:dyDescent="0.35">
      <c r="A121" t="s">
        <v>352</v>
      </c>
      <c r="B121" t="s">
        <v>353</v>
      </c>
      <c r="C121" t="s">
        <v>325</v>
      </c>
      <c r="D121" t="s">
        <v>326</v>
      </c>
      <c r="E121" t="s">
        <v>327</v>
      </c>
      <c r="F121" t="s">
        <v>354</v>
      </c>
      <c r="G121" t="s">
        <v>15</v>
      </c>
      <c r="H121">
        <v>209.43</v>
      </c>
      <c r="J121">
        <f>CEILING((Query1[[#This Row],[Cost Price ( MYR )]] / (1 - _xlfn.XLOOKUP(Query1[[#This Row],[Business Unit]], Margins!A:A, Margins!C:C))) * (1 - _xlfn.XLOOKUP(Query1[[#This Row],[Business Unit]], Margins!A:A, Margins!D:D)),5)</f>
        <v>470</v>
      </c>
    </row>
    <row r="122" spans="1:10" x14ac:dyDescent="0.35">
      <c r="A122" t="s">
        <v>355</v>
      </c>
      <c r="B122" t="s">
        <v>356</v>
      </c>
      <c r="C122" t="s">
        <v>325</v>
      </c>
      <c r="D122" t="s">
        <v>326</v>
      </c>
      <c r="E122" t="s">
        <v>327</v>
      </c>
      <c r="F122" t="s">
        <v>357</v>
      </c>
      <c r="G122" t="s">
        <v>15</v>
      </c>
      <c r="H122">
        <v>302.85000000000002</v>
      </c>
      <c r="J122">
        <f>CEILING((Query1[[#This Row],[Cost Price ( MYR )]] / (1 - _xlfn.XLOOKUP(Query1[[#This Row],[Business Unit]], Margins!A:A, Margins!C:C))) * (1 - _xlfn.XLOOKUP(Query1[[#This Row],[Business Unit]], Margins!A:A, Margins!D:D)),5)</f>
        <v>675</v>
      </c>
    </row>
    <row r="123" spans="1:10" x14ac:dyDescent="0.35">
      <c r="B123" t="s">
        <v>358</v>
      </c>
      <c r="C123" t="s">
        <v>325</v>
      </c>
      <c r="D123" t="s">
        <v>326</v>
      </c>
      <c r="E123" t="s">
        <v>327</v>
      </c>
      <c r="F123" t="s">
        <v>359</v>
      </c>
      <c r="G123" t="s">
        <v>15</v>
      </c>
      <c r="J12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24" spans="1:10" x14ac:dyDescent="0.35">
      <c r="B124" t="s">
        <v>360</v>
      </c>
      <c r="C124" t="s">
        <v>325</v>
      </c>
      <c r="D124" t="s">
        <v>326</v>
      </c>
      <c r="E124" t="s">
        <v>327</v>
      </c>
      <c r="F124" t="s">
        <v>361</v>
      </c>
      <c r="G124" t="s">
        <v>15</v>
      </c>
      <c r="J12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25" spans="1:10" x14ac:dyDescent="0.35">
      <c r="A125" t="s">
        <v>362</v>
      </c>
      <c r="B125" t="s">
        <v>363</v>
      </c>
      <c r="C125" t="s">
        <v>325</v>
      </c>
      <c r="D125" t="s">
        <v>326</v>
      </c>
      <c r="E125" t="s">
        <v>327</v>
      </c>
      <c r="F125" t="s">
        <v>364</v>
      </c>
      <c r="G125" t="s">
        <v>15</v>
      </c>
      <c r="H125">
        <v>91.4</v>
      </c>
      <c r="J125">
        <f>CEILING((Query1[[#This Row],[Cost Price ( MYR )]] / (1 - _xlfn.XLOOKUP(Query1[[#This Row],[Business Unit]], Margins!A:A, Margins!C:C))) * (1 - _xlfn.XLOOKUP(Query1[[#This Row],[Business Unit]], Margins!A:A, Margins!D:D)),5)</f>
        <v>205</v>
      </c>
    </row>
    <row r="126" spans="1:10" x14ac:dyDescent="0.35">
      <c r="A126" t="s">
        <v>365</v>
      </c>
      <c r="B126" t="s">
        <v>366</v>
      </c>
      <c r="C126" t="s">
        <v>325</v>
      </c>
      <c r="D126" t="s">
        <v>326</v>
      </c>
      <c r="E126" t="s">
        <v>327</v>
      </c>
      <c r="F126" t="s">
        <v>367</v>
      </c>
      <c r="G126" t="s">
        <v>15</v>
      </c>
      <c r="H126">
        <v>152.75</v>
      </c>
      <c r="J126">
        <f>CEILING((Query1[[#This Row],[Cost Price ( MYR )]] / (1 - _xlfn.XLOOKUP(Query1[[#This Row],[Business Unit]], Margins!A:A, Margins!C:C))) * (1 - _xlfn.XLOOKUP(Query1[[#This Row],[Business Unit]], Margins!A:A, Margins!D:D)),5)</f>
        <v>340</v>
      </c>
    </row>
    <row r="127" spans="1:10" x14ac:dyDescent="0.35">
      <c r="B127" t="s">
        <v>368</v>
      </c>
      <c r="C127" t="s">
        <v>325</v>
      </c>
      <c r="D127" t="s">
        <v>326</v>
      </c>
      <c r="E127" t="s">
        <v>327</v>
      </c>
      <c r="F127" t="s">
        <v>369</v>
      </c>
      <c r="G127" t="s">
        <v>15</v>
      </c>
      <c r="J12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28" spans="1:10" x14ac:dyDescent="0.35">
      <c r="B128" t="s">
        <v>370</v>
      </c>
      <c r="C128" t="s">
        <v>325</v>
      </c>
      <c r="D128" t="s">
        <v>326</v>
      </c>
      <c r="E128" t="s">
        <v>371</v>
      </c>
      <c r="F128" t="s">
        <v>372</v>
      </c>
      <c r="G128" t="s">
        <v>15</v>
      </c>
      <c r="J12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29" spans="1:10" x14ac:dyDescent="0.35">
      <c r="B129" t="s">
        <v>373</v>
      </c>
      <c r="C129" t="s">
        <v>325</v>
      </c>
      <c r="D129" t="s">
        <v>326</v>
      </c>
      <c r="E129" t="s">
        <v>371</v>
      </c>
      <c r="F129" t="s">
        <v>374</v>
      </c>
      <c r="G129" t="s">
        <v>15</v>
      </c>
      <c r="J12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0" spans="1:10" x14ac:dyDescent="0.35">
      <c r="B130" t="s">
        <v>375</v>
      </c>
      <c r="C130" t="s">
        <v>325</v>
      </c>
      <c r="D130" t="s">
        <v>326</v>
      </c>
      <c r="E130" t="s">
        <v>371</v>
      </c>
      <c r="F130" t="s">
        <v>376</v>
      </c>
      <c r="G130" t="s">
        <v>15</v>
      </c>
      <c r="J13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1" spans="1:10" x14ac:dyDescent="0.35">
      <c r="A131" t="s">
        <v>377</v>
      </c>
      <c r="B131" t="s">
        <v>378</v>
      </c>
      <c r="C131" t="s">
        <v>325</v>
      </c>
      <c r="D131" t="s">
        <v>326</v>
      </c>
      <c r="E131" t="s">
        <v>371</v>
      </c>
      <c r="F131" t="s">
        <v>379</v>
      </c>
      <c r="G131" t="s">
        <v>15</v>
      </c>
      <c r="H131">
        <v>0</v>
      </c>
      <c r="J13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2" spans="1:10" x14ac:dyDescent="0.35">
      <c r="A132" t="s">
        <v>380</v>
      </c>
      <c r="B132" t="s">
        <v>381</v>
      </c>
      <c r="C132" t="s">
        <v>325</v>
      </c>
      <c r="D132" t="s">
        <v>326</v>
      </c>
      <c r="E132" t="s">
        <v>371</v>
      </c>
      <c r="F132" t="s">
        <v>382</v>
      </c>
      <c r="G132" t="s">
        <v>15</v>
      </c>
      <c r="H132">
        <v>0</v>
      </c>
      <c r="J13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3" spans="1:10" x14ac:dyDescent="0.35">
      <c r="A133" t="s">
        <v>383</v>
      </c>
      <c r="B133" t="s">
        <v>384</v>
      </c>
      <c r="C133" t="s">
        <v>385</v>
      </c>
      <c r="D133" t="s">
        <v>386</v>
      </c>
      <c r="E133" t="s">
        <v>387</v>
      </c>
      <c r="F133" t="s">
        <v>388</v>
      </c>
      <c r="H133">
        <v>0</v>
      </c>
      <c r="J13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4" spans="1:10" x14ac:dyDescent="0.35">
      <c r="A134" t="s">
        <v>389</v>
      </c>
      <c r="B134" t="s">
        <v>390</v>
      </c>
      <c r="C134" t="s">
        <v>385</v>
      </c>
      <c r="D134" t="s">
        <v>152</v>
      </c>
      <c r="E134" t="s">
        <v>246</v>
      </c>
      <c r="F134" t="s">
        <v>391</v>
      </c>
      <c r="H134">
        <v>0</v>
      </c>
      <c r="J13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5" spans="1:10" x14ac:dyDescent="0.35">
      <c r="A135" t="s">
        <v>392</v>
      </c>
      <c r="B135" t="s">
        <v>393</v>
      </c>
      <c r="C135" t="s">
        <v>385</v>
      </c>
      <c r="D135" t="s">
        <v>152</v>
      </c>
      <c r="E135" t="s">
        <v>246</v>
      </c>
      <c r="F135" t="s">
        <v>394</v>
      </c>
      <c r="H135">
        <v>78.180000000000007</v>
      </c>
      <c r="J135">
        <f>CEILING((Query1[[#This Row],[Cost Price ( MYR )]] / (1 - _xlfn.XLOOKUP(Query1[[#This Row],[Business Unit]], Margins!A:A, Margins!C:C))) * (1 - _xlfn.XLOOKUP(Query1[[#This Row],[Business Unit]], Margins!A:A, Margins!D:D)),5)</f>
        <v>210</v>
      </c>
    </row>
    <row r="136" spans="1:10" x14ac:dyDescent="0.35">
      <c r="A136" t="s">
        <v>395</v>
      </c>
      <c r="B136" t="s">
        <v>396</v>
      </c>
      <c r="C136" t="s">
        <v>385</v>
      </c>
      <c r="D136" t="s">
        <v>397</v>
      </c>
      <c r="E136" t="s">
        <v>398</v>
      </c>
      <c r="F136" t="s">
        <v>399</v>
      </c>
      <c r="H136">
        <v>0</v>
      </c>
      <c r="J13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7" spans="1:10" x14ac:dyDescent="0.35">
      <c r="A137" t="s">
        <v>400</v>
      </c>
      <c r="B137" t="s">
        <v>401</v>
      </c>
      <c r="C137" t="s">
        <v>385</v>
      </c>
      <c r="D137" t="s">
        <v>397</v>
      </c>
      <c r="E137" t="s">
        <v>398</v>
      </c>
      <c r="F137" t="s">
        <v>402</v>
      </c>
      <c r="H137">
        <v>0</v>
      </c>
      <c r="J13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8" spans="1:10" x14ac:dyDescent="0.35">
      <c r="A138" t="s">
        <v>403</v>
      </c>
      <c r="B138" t="s">
        <v>404</v>
      </c>
      <c r="C138" t="s">
        <v>385</v>
      </c>
      <c r="D138" t="s">
        <v>397</v>
      </c>
      <c r="E138" t="s">
        <v>405</v>
      </c>
      <c r="F138" t="s">
        <v>406</v>
      </c>
      <c r="H138">
        <v>0</v>
      </c>
      <c r="J13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39" spans="1:10" x14ac:dyDescent="0.35">
      <c r="A139" t="s">
        <v>407</v>
      </c>
      <c r="B139" t="s">
        <v>408</v>
      </c>
      <c r="C139" t="s">
        <v>385</v>
      </c>
      <c r="D139" t="s">
        <v>397</v>
      </c>
      <c r="E139" t="s">
        <v>398</v>
      </c>
      <c r="F139" t="s">
        <v>409</v>
      </c>
      <c r="H139">
        <v>21.71</v>
      </c>
      <c r="J139">
        <f>CEILING((Query1[[#This Row],[Cost Price ( MYR )]] / (1 - _xlfn.XLOOKUP(Query1[[#This Row],[Business Unit]], Margins!A:A, Margins!C:C))) * (1 - _xlfn.XLOOKUP(Query1[[#This Row],[Business Unit]], Margins!A:A, Margins!D:D)),5)</f>
        <v>60</v>
      </c>
    </row>
    <row r="140" spans="1:10" x14ac:dyDescent="0.35">
      <c r="A140" t="s">
        <v>410</v>
      </c>
      <c r="B140" t="s">
        <v>411</v>
      </c>
      <c r="C140" t="s">
        <v>385</v>
      </c>
      <c r="D140" t="s">
        <v>397</v>
      </c>
      <c r="E140" t="s">
        <v>398</v>
      </c>
      <c r="F140" t="s">
        <v>412</v>
      </c>
      <c r="H140">
        <v>0</v>
      </c>
      <c r="J14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1" spans="1:10" x14ac:dyDescent="0.35">
      <c r="A141" t="s">
        <v>413</v>
      </c>
      <c r="B141" t="s">
        <v>414</v>
      </c>
      <c r="C141" t="s">
        <v>385</v>
      </c>
      <c r="D141" t="s">
        <v>397</v>
      </c>
      <c r="E141" t="s">
        <v>405</v>
      </c>
      <c r="F141" t="s">
        <v>415</v>
      </c>
      <c r="H141">
        <v>0</v>
      </c>
      <c r="J14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2" spans="1:10" x14ac:dyDescent="0.35">
      <c r="A142" t="s">
        <v>416</v>
      </c>
      <c r="B142" t="s">
        <v>417</v>
      </c>
      <c r="C142" t="s">
        <v>385</v>
      </c>
      <c r="D142" t="s">
        <v>397</v>
      </c>
      <c r="E142" t="s">
        <v>405</v>
      </c>
      <c r="F142" t="s">
        <v>418</v>
      </c>
      <c r="H142">
        <v>0</v>
      </c>
      <c r="J14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3" spans="1:10" x14ac:dyDescent="0.35">
      <c r="A143" t="s">
        <v>419</v>
      </c>
      <c r="B143" t="s">
        <v>420</v>
      </c>
      <c r="C143" t="s">
        <v>385</v>
      </c>
      <c r="D143" t="s">
        <v>397</v>
      </c>
      <c r="E143" t="s">
        <v>405</v>
      </c>
      <c r="F143" t="s">
        <v>421</v>
      </c>
      <c r="H143">
        <v>0</v>
      </c>
      <c r="J14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4" spans="1:10" x14ac:dyDescent="0.35">
      <c r="A144" t="s">
        <v>422</v>
      </c>
      <c r="B144" t="s">
        <v>423</v>
      </c>
      <c r="C144" t="s">
        <v>385</v>
      </c>
      <c r="D144" t="s">
        <v>397</v>
      </c>
      <c r="E144" t="s">
        <v>405</v>
      </c>
      <c r="F144" t="s">
        <v>424</v>
      </c>
      <c r="H144">
        <v>0</v>
      </c>
      <c r="J14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5" spans="1:10" x14ac:dyDescent="0.35">
      <c r="A145" t="s">
        <v>425</v>
      </c>
      <c r="B145" t="s">
        <v>426</v>
      </c>
      <c r="C145" t="s">
        <v>385</v>
      </c>
      <c r="D145" t="s">
        <v>397</v>
      </c>
      <c r="E145" t="s">
        <v>427</v>
      </c>
      <c r="F145" t="s">
        <v>428</v>
      </c>
      <c r="H145">
        <v>0</v>
      </c>
      <c r="J14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6" spans="1:10" x14ac:dyDescent="0.35">
      <c r="A146" t="s">
        <v>429</v>
      </c>
      <c r="B146" t="s">
        <v>430</v>
      </c>
      <c r="C146" t="s">
        <v>385</v>
      </c>
      <c r="D146" t="s">
        <v>397</v>
      </c>
      <c r="E146" t="s">
        <v>398</v>
      </c>
      <c r="F146" t="s">
        <v>431</v>
      </c>
      <c r="H146">
        <v>0</v>
      </c>
      <c r="J14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7" spans="1:10" x14ac:dyDescent="0.35">
      <c r="A147" t="s">
        <v>432</v>
      </c>
      <c r="B147" t="s">
        <v>433</v>
      </c>
      <c r="C147" t="s">
        <v>385</v>
      </c>
      <c r="D147" t="s">
        <v>397</v>
      </c>
      <c r="E147" t="s">
        <v>405</v>
      </c>
      <c r="F147" t="s">
        <v>434</v>
      </c>
      <c r="H147">
        <v>0</v>
      </c>
      <c r="J14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8" spans="1:10" x14ac:dyDescent="0.35">
      <c r="A148" t="s">
        <v>435</v>
      </c>
      <c r="B148" t="s">
        <v>436</v>
      </c>
      <c r="C148" t="s">
        <v>385</v>
      </c>
      <c r="D148" t="s">
        <v>397</v>
      </c>
      <c r="E148" t="s">
        <v>405</v>
      </c>
      <c r="F148" t="s">
        <v>437</v>
      </c>
      <c r="H148">
        <v>0</v>
      </c>
      <c r="J14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49" spans="1:10" x14ac:dyDescent="0.35">
      <c r="A149" t="s">
        <v>438</v>
      </c>
      <c r="B149" t="s">
        <v>439</v>
      </c>
      <c r="C149" t="s">
        <v>385</v>
      </c>
      <c r="D149" t="s">
        <v>397</v>
      </c>
      <c r="E149" t="s">
        <v>405</v>
      </c>
      <c r="F149" t="s">
        <v>440</v>
      </c>
      <c r="H149">
        <v>5.71</v>
      </c>
      <c r="J149">
        <f>CEILING((Query1[[#This Row],[Cost Price ( MYR )]] / (1 - _xlfn.XLOOKUP(Query1[[#This Row],[Business Unit]], Margins!A:A, Margins!C:C))) * (1 - _xlfn.XLOOKUP(Query1[[#This Row],[Business Unit]], Margins!A:A, Margins!D:D)),5)</f>
        <v>20</v>
      </c>
    </row>
    <row r="150" spans="1:10" x14ac:dyDescent="0.35">
      <c r="A150" t="s">
        <v>441</v>
      </c>
      <c r="B150" t="s">
        <v>442</v>
      </c>
      <c r="C150" t="s">
        <v>385</v>
      </c>
      <c r="D150" t="s">
        <v>397</v>
      </c>
      <c r="E150" t="s">
        <v>405</v>
      </c>
      <c r="F150" t="s">
        <v>443</v>
      </c>
      <c r="H150">
        <v>5.39</v>
      </c>
      <c r="J150">
        <f>CEILING((Query1[[#This Row],[Cost Price ( MYR )]] / (1 - _xlfn.XLOOKUP(Query1[[#This Row],[Business Unit]], Margins!A:A, Margins!C:C))) * (1 - _xlfn.XLOOKUP(Query1[[#This Row],[Business Unit]], Margins!A:A, Margins!D:D)),5)</f>
        <v>15</v>
      </c>
    </row>
    <row r="151" spans="1:10" x14ac:dyDescent="0.35">
      <c r="A151" t="s">
        <v>444</v>
      </c>
      <c r="B151" t="s">
        <v>445</v>
      </c>
      <c r="C151" t="s">
        <v>385</v>
      </c>
      <c r="D151" t="s">
        <v>397</v>
      </c>
      <c r="E151" t="s">
        <v>405</v>
      </c>
      <c r="F151" t="s">
        <v>446</v>
      </c>
      <c r="H151">
        <v>0</v>
      </c>
      <c r="J15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2" spans="1:10" x14ac:dyDescent="0.35">
      <c r="A152" t="s">
        <v>447</v>
      </c>
      <c r="B152" t="s">
        <v>448</v>
      </c>
      <c r="C152" t="s">
        <v>385</v>
      </c>
      <c r="D152" t="s">
        <v>397</v>
      </c>
      <c r="E152" t="s">
        <v>405</v>
      </c>
      <c r="F152" t="s">
        <v>449</v>
      </c>
      <c r="H152">
        <v>0</v>
      </c>
      <c r="J15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3" spans="1:10" x14ac:dyDescent="0.35">
      <c r="A153" t="s">
        <v>450</v>
      </c>
      <c r="B153" t="s">
        <v>451</v>
      </c>
      <c r="C153" t="s">
        <v>385</v>
      </c>
      <c r="D153" t="s">
        <v>397</v>
      </c>
      <c r="E153" t="s">
        <v>405</v>
      </c>
      <c r="F153" t="s">
        <v>452</v>
      </c>
      <c r="H153">
        <v>0</v>
      </c>
      <c r="J15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4" spans="1:10" x14ac:dyDescent="0.35">
      <c r="A154" t="s">
        <v>453</v>
      </c>
      <c r="B154" t="s">
        <v>454</v>
      </c>
      <c r="C154" t="s">
        <v>385</v>
      </c>
      <c r="D154" t="s">
        <v>397</v>
      </c>
      <c r="E154" t="s">
        <v>405</v>
      </c>
      <c r="F154" t="s">
        <v>455</v>
      </c>
      <c r="H154">
        <v>0</v>
      </c>
      <c r="J15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5" spans="1:10" x14ac:dyDescent="0.35">
      <c r="A155" t="s">
        <v>456</v>
      </c>
      <c r="B155" t="s">
        <v>457</v>
      </c>
      <c r="C155" t="s">
        <v>385</v>
      </c>
      <c r="D155" t="s">
        <v>397</v>
      </c>
      <c r="E155" t="s">
        <v>405</v>
      </c>
      <c r="F155" t="s">
        <v>458</v>
      </c>
      <c r="H155">
        <v>0</v>
      </c>
      <c r="J15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6" spans="1:10" x14ac:dyDescent="0.35">
      <c r="B156" t="s">
        <v>459</v>
      </c>
      <c r="C156" t="s">
        <v>385</v>
      </c>
      <c r="D156" t="s">
        <v>397</v>
      </c>
      <c r="E156" t="s">
        <v>405</v>
      </c>
      <c r="F156" t="s">
        <v>460</v>
      </c>
      <c r="J15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7" spans="1:10" x14ac:dyDescent="0.35">
      <c r="B157" t="s">
        <v>461</v>
      </c>
      <c r="C157" t="s">
        <v>385</v>
      </c>
      <c r="D157" t="s">
        <v>397</v>
      </c>
      <c r="E157" t="s">
        <v>405</v>
      </c>
      <c r="F157" t="s">
        <v>462</v>
      </c>
      <c r="J15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8" spans="1:10" x14ac:dyDescent="0.35">
      <c r="B158" t="s">
        <v>463</v>
      </c>
      <c r="C158" t="s">
        <v>385</v>
      </c>
      <c r="D158" t="s">
        <v>397</v>
      </c>
      <c r="E158" t="s">
        <v>405</v>
      </c>
      <c r="F158" t="s">
        <v>464</v>
      </c>
      <c r="J15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59" spans="1:10" x14ac:dyDescent="0.35">
      <c r="B159" t="s">
        <v>465</v>
      </c>
      <c r="C159" t="s">
        <v>385</v>
      </c>
      <c r="D159" t="s">
        <v>397</v>
      </c>
      <c r="E159" t="s">
        <v>405</v>
      </c>
      <c r="F159" t="s">
        <v>466</v>
      </c>
      <c r="J15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60" spans="1:10" x14ac:dyDescent="0.35">
      <c r="B160" t="s">
        <v>467</v>
      </c>
      <c r="C160" t="s">
        <v>385</v>
      </c>
      <c r="D160" t="s">
        <v>397</v>
      </c>
      <c r="E160" t="s">
        <v>405</v>
      </c>
      <c r="F160" t="s">
        <v>468</v>
      </c>
      <c r="J16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61" spans="1:10" x14ac:dyDescent="0.35">
      <c r="B161" t="s">
        <v>469</v>
      </c>
      <c r="C161" t="s">
        <v>385</v>
      </c>
      <c r="D161" t="s">
        <v>397</v>
      </c>
      <c r="E161" t="s">
        <v>405</v>
      </c>
      <c r="F161" t="s">
        <v>470</v>
      </c>
      <c r="J16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62" spans="1:10" x14ac:dyDescent="0.35">
      <c r="A162" t="s">
        <v>471</v>
      </c>
      <c r="B162" t="s">
        <v>472</v>
      </c>
      <c r="C162" t="s">
        <v>385</v>
      </c>
      <c r="D162" t="s">
        <v>473</v>
      </c>
      <c r="F162" t="s">
        <v>474</v>
      </c>
      <c r="H162">
        <v>0</v>
      </c>
      <c r="J16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63" spans="1:10" x14ac:dyDescent="0.35">
      <c r="A163" t="s">
        <v>475</v>
      </c>
      <c r="B163" t="s">
        <v>476</v>
      </c>
      <c r="C163" t="s">
        <v>385</v>
      </c>
      <c r="D163" t="s">
        <v>12</v>
      </c>
      <c r="E163" t="s">
        <v>477</v>
      </c>
      <c r="F163" t="s">
        <v>478</v>
      </c>
      <c r="H163">
        <v>1290</v>
      </c>
      <c r="J163">
        <f>CEILING((Query1[[#This Row],[Cost Price ( MYR )]] / (1 - _xlfn.XLOOKUP(Query1[[#This Row],[Business Unit]], Margins!A:A, Margins!C:C))) * (1 - _xlfn.XLOOKUP(Query1[[#This Row],[Business Unit]], Margins!A:A, Margins!D:D)),5)</f>
        <v>3445</v>
      </c>
    </row>
    <row r="164" spans="1:10" x14ac:dyDescent="0.35">
      <c r="A164" t="s">
        <v>479</v>
      </c>
      <c r="B164" t="s">
        <v>480</v>
      </c>
      <c r="C164" t="s">
        <v>481</v>
      </c>
      <c r="D164" t="s">
        <v>386</v>
      </c>
      <c r="E164" t="s">
        <v>482</v>
      </c>
      <c r="F164" t="s">
        <v>483</v>
      </c>
      <c r="H164">
        <v>0</v>
      </c>
      <c r="J16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65" spans="1:10" x14ac:dyDescent="0.35">
      <c r="A165" t="s">
        <v>484</v>
      </c>
      <c r="B165" t="s">
        <v>485</v>
      </c>
      <c r="C165" t="s">
        <v>481</v>
      </c>
      <c r="D165" t="s">
        <v>386</v>
      </c>
      <c r="E165" t="s">
        <v>482</v>
      </c>
      <c r="F165" t="s">
        <v>486</v>
      </c>
      <c r="H165">
        <v>430</v>
      </c>
      <c r="J165">
        <f>CEILING((Query1[[#This Row],[Cost Price ( MYR )]] / (1 - _xlfn.XLOOKUP(Query1[[#This Row],[Business Unit]], Margins!A:A, Margins!C:C))) * (1 - _xlfn.XLOOKUP(Query1[[#This Row],[Business Unit]], Margins!A:A, Margins!D:D)),5)</f>
        <v>765</v>
      </c>
    </row>
    <row r="166" spans="1:10" x14ac:dyDescent="0.35">
      <c r="A166" t="s">
        <v>487</v>
      </c>
      <c r="B166" t="s">
        <v>488</v>
      </c>
      <c r="C166" t="s">
        <v>481</v>
      </c>
      <c r="D166" t="s">
        <v>386</v>
      </c>
      <c r="E166" t="s">
        <v>482</v>
      </c>
      <c r="F166" t="s">
        <v>489</v>
      </c>
      <c r="H166">
        <v>150</v>
      </c>
      <c r="J166">
        <f>CEILING((Query1[[#This Row],[Cost Price ( MYR )]] / (1 - _xlfn.XLOOKUP(Query1[[#This Row],[Business Unit]], Margins!A:A, Margins!C:C))) * (1 - _xlfn.XLOOKUP(Query1[[#This Row],[Business Unit]], Margins!A:A, Margins!D:D)),5)</f>
        <v>270</v>
      </c>
    </row>
    <row r="167" spans="1:10" x14ac:dyDescent="0.35">
      <c r="A167" t="s">
        <v>490</v>
      </c>
      <c r="B167" t="s">
        <v>491</v>
      </c>
      <c r="C167" t="s">
        <v>481</v>
      </c>
      <c r="D167" t="s">
        <v>386</v>
      </c>
      <c r="E167" t="s">
        <v>482</v>
      </c>
      <c r="F167" t="s">
        <v>492</v>
      </c>
      <c r="H167">
        <v>98.7</v>
      </c>
      <c r="J167">
        <f>CEILING((Query1[[#This Row],[Cost Price ( MYR )]] / (1 - _xlfn.XLOOKUP(Query1[[#This Row],[Business Unit]], Margins!A:A, Margins!C:C))) * (1 - _xlfn.XLOOKUP(Query1[[#This Row],[Business Unit]], Margins!A:A, Margins!D:D)),5)</f>
        <v>180</v>
      </c>
    </row>
    <row r="168" spans="1:10" x14ac:dyDescent="0.35">
      <c r="A168" t="s">
        <v>493</v>
      </c>
      <c r="B168" t="s">
        <v>494</v>
      </c>
      <c r="C168" t="s">
        <v>481</v>
      </c>
      <c r="D168" t="s">
        <v>12</v>
      </c>
      <c r="E168" t="s">
        <v>13</v>
      </c>
      <c r="F168" t="s">
        <v>495</v>
      </c>
      <c r="G168" t="s">
        <v>15</v>
      </c>
      <c r="H168">
        <v>9302.89</v>
      </c>
      <c r="J168">
        <f>CEILING((Query1[[#This Row],[Cost Price ( MYR )]] / (1 - _xlfn.XLOOKUP(Query1[[#This Row],[Business Unit]], Margins!A:A, Margins!C:C))) * (1 - _xlfn.XLOOKUP(Query1[[#This Row],[Business Unit]], Margins!A:A, Margins!D:D)),5)</f>
        <v>16550</v>
      </c>
    </row>
    <row r="169" spans="1:10" x14ac:dyDescent="0.35">
      <c r="B169" t="s">
        <v>496</v>
      </c>
      <c r="C169" t="s">
        <v>481</v>
      </c>
      <c r="D169" t="s">
        <v>12</v>
      </c>
      <c r="E169" t="s">
        <v>118</v>
      </c>
      <c r="F169" t="s">
        <v>497</v>
      </c>
      <c r="G169" t="s">
        <v>15</v>
      </c>
      <c r="J16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0" spans="1:10" x14ac:dyDescent="0.35">
      <c r="A170" t="s">
        <v>498</v>
      </c>
      <c r="B170" t="s">
        <v>499</v>
      </c>
      <c r="C170" t="s">
        <v>481</v>
      </c>
      <c r="D170" t="s">
        <v>12</v>
      </c>
      <c r="E170" t="s">
        <v>118</v>
      </c>
      <c r="F170" t="s">
        <v>500</v>
      </c>
      <c r="G170" t="s">
        <v>15</v>
      </c>
      <c r="H170">
        <v>2622.75</v>
      </c>
      <c r="J170">
        <f>CEILING((Query1[[#This Row],[Cost Price ( MYR )]] / (1 - _xlfn.XLOOKUP(Query1[[#This Row],[Business Unit]], Margins!A:A, Margins!C:C))) * (1 - _xlfn.XLOOKUP(Query1[[#This Row],[Business Unit]], Margins!A:A, Margins!D:D)),5)</f>
        <v>4665</v>
      </c>
    </row>
    <row r="171" spans="1:10" x14ac:dyDescent="0.35">
      <c r="A171" t="s">
        <v>501</v>
      </c>
      <c r="B171" t="s">
        <v>502</v>
      </c>
      <c r="C171" t="s">
        <v>481</v>
      </c>
      <c r="D171" t="s">
        <v>12</v>
      </c>
      <c r="E171" t="s">
        <v>118</v>
      </c>
      <c r="F171" t="s">
        <v>503</v>
      </c>
      <c r="G171" t="s">
        <v>15</v>
      </c>
      <c r="H171">
        <v>2622.75</v>
      </c>
      <c r="J171">
        <f>CEILING((Query1[[#This Row],[Cost Price ( MYR )]] / (1 - _xlfn.XLOOKUP(Query1[[#This Row],[Business Unit]], Margins!A:A, Margins!C:C))) * (1 - _xlfn.XLOOKUP(Query1[[#This Row],[Business Unit]], Margins!A:A, Margins!D:D)),5)</f>
        <v>4665</v>
      </c>
    </row>
    <row r="172" spans="1:10" x14ac:dyDescent="0.35">
      <c r="B172" t="s">
        <v>504</v>
      </c>
      <c r="C172" t="s">
        <v>481</v>
      </c>
      <c r="D172" t="s">
        <v>12</v>
      </c>
      <c r="E172" t="s">
        <v>13</v>
      </c>
      <c r="F172" t="s">
        <v>505</v>
      </c>
      <c r="G172" t="s">
        <v>15</v>
      </c>
      <c r="J17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3" spans="1:10" x14ac:dyDescent="0.35">
      <c r="B173" t="s">
        <v>506</v>
      </c>
      <c r="C173" t="s">
        <v>481</v>
      </c>
      <c r="D173" t="s">
        <v>12</v>
      </c>
      <c r="E173" t="s">
        <v>17</v>
      </c>
      <c r="F173" t="s">
        <v>507</v>
      </c>
      <c r="G173" t="s">
        <v>15</v>
      </c>
      <c r="J17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4" spans="1:10" x14ac:dyDescent="0.35">
      <c r="B174" t="s">
        <v>508</v>
      </c>
      <c r="C174" t="s">
        <v>481</v>
      </c>
      <c r="D174" t="s">
        <v>12</v>
      </c>
      <c r="E174" t="s">
        <v>17</v>
      </c>
      <c r="F174" t="s">
        <v>509</v>
      </c>
      <c r="G174" t="s">
        <v>15</v>
      </c>
      <c r="J17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5" spans="1:10" x14ac:dyDescent="0.35">
      <c r="B175" t="s">
        <v>510</v>
      </c>
      <c r="C175" t="s">
        <v>481</v>
      </c>
      <c r="D175" t="s">
        <v>12</v>
      </c>
      <c r="E175" t="s">
        <v>17</v>
      </c>
      <c r="F175" t="s">
        <v>511</v>
      </c>
      <c r="G175" t="s">
        <v>15</v>
      </c>
      <c r="J17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6" spans="1:10" x14ac:dyDescent="0.35">
      <c r="B176" t="s">
        <v>512</v>
      </c>
      <c r="C176" t="s">
        <v>481</v>
      </c>
      <c r="D176" t="s">
        <v>12</v>
      </c>
      <c r="E176" t="s">
        <v>118</v>
      </c>
      <c r="F176" t="s">
        <v>513</v>
      </c>
      <c r="G176" t="s">
        <v>15</v>
      </c>
      <c r="J17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7" spans="1:10" x14ac:dyDescent="0.35">
      <c r="B177" t="s">
        <v>514</v>
      </c>
      <c r="C177" t="s">
        <v>481</v>
      </c>
      <c r="D177" t="s">
        <v>12</v>
      </c>
      <c r="E177" t="s">
        <v>118</v>
      </c>
      <c r="F177" t="s">
        <v>515</v>
      </c>
      <c r="G177" t="s">
        <v>15</v>
      </c>
      <c r="J17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8" spans="1:10" x14ac:dyDescent="0.35">
      <c r="B178" t="s">
        <v>516</v>
      </c>
      <c r="C178" t="s">
        <v>481</v>
      </c>
      <c r="D178" t="s">
        <v>12</v>
      </c>
      <c r="E178" t="s">
        <v>17</v>
      </c>
      <c r="F178" t="s">
        <v>517</v>
      </c>
      <c r="G178" t="s">
        <v>15</v>
      </c>
      <c r="J17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79" spans="1:10" x14ac:dyDescent="0.35">
      <c r="B179" t="s">
        <v>518</v>
      </c>
      <c r="C179" t="s">
        <v>481</v>
      </c>
      <c r="D179" t="s">
        <v>12</v>
      </c>
      <c r="E179" t="s">
        <v>118</v>
      </c>
      <c r="F179" t="s">
        <v>519</v>
      </c>
      <c r="J17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0" spans="1:10" x14ac:dyDescent="0.35">
      <c r="A180" t="s">
        <v>520</v>
      </c>
      <c r="B180" t="s">
        <v>521</v>
      </c>
      <c r="C180" t="s">
        <v>481</v>
      </c>
      <c r="D180" t="s">
        <v>12</v>
      </c>
      <c r="E180" t="s">
        <v>17</v>
      </c>
      <c r="F180" t="s">
        <v>522</v>
      </c>
      <c r="G180" t="s">
        <v>15</v>
      </c>
      <c r="H180">
        <v>0</v>
      </c>
      <c r="J18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1" spans="1:10" x14ac:dyDescent="0.35">
      <c r="A181" t="s">
        <v>523</v>
      </c>
      <c r="B181" t="s">
        <v>524</v>
      </c>
      <c r="C181" t="s">
        <v>481</v>
      </c>
      <c r="D181" t="s">
        <v>12</v>
      </c>
      <c r="E181" t="s">
        <v>17</v>
      </c>
      <c r="F181" t="s">
        <v>525</v>
      </c>
      <c r="G181" t="s">
        <v>15</v>
      </c>
      <c r="H181">
        <v>0</v>
      </c>
      <c r="J18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2" spans="1:10" x14ac:dyDescent="0.35">
      <c r="A182" t="s">
        <v>526</v>
      </c>
      <c r="B182" t="s">
        <v>527</v>
      </c>
      <c r="C182" t="s">
        <v>481</v>
      </c>
      <c r="D182" t="s">
        <v>12</v>
      </c>
      <c r="E182" t="s">
        <v>17</v>
      </c>
      <c r="F182" t="s">
        <v>528</v>
      </c>
      <c r="G182" t="s">
        <v>15</v>
      </c>
      <c r="H182">
        <v>0</v>
      </c>
      <c r="J18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3" spans="1:10" x14ac:dyDescent="0.35">
      <c r="A183" t="s">
        <v>529</v>
      </c>
      <c r="B183" t="s">
        <v>530</v>
      </c>
      <c r="C183" t="s">
        <v>481</v>
      </c>
      <c r="D183" t="s">
        <v>12</v>
      </c>
      <c r="E183" t="s">
        <v>17</v>
      </c>
      <c r="F183" t="s">
        <v>531</v>
      </c>
      <c r="G183" t="s">
        <v>15</v>
      </c>
      <c r="H183">
        <v>0</v>
      </c>
      <c r="J18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4" spans="1:10" x14ac:dyDescent="0.35">
      <c r="A184" t="s">
        <v>532</v>
      </c>
      <c r="B184" t="s">
        <v>533</v>
      </c>
      <c r="C184" t="s">
        <v>481</v>
      </c>
      <c r="D184" t="s">
        <v>12</v>
      </c>
      <c r="E184" t="s">
        <v>17</v>
      </c>
      <c r="F184" t="s">
        <v>534</v>
      </c>
      <c r="G184" t="s">
        <v>15</v>
      </c>
      <c r="H184">
        <v>0</v>
      </c>
      <c r="J18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5" spans="1:10" x14ac:dyDescent="0.35">
      <c r="A185" t="s">
        <v>535</v>
      </c>
      <c r="B185" t="s">
        <v>536</v>
      </c>
      <c r="C185" t="s">
        <v>481</v>
      </c>
      <c r="D185" t="s">
        <v>12</v>
      </c>
      <c r="E185" t="s">
        <v>17</v>
      </c>
      <c r="F185" t="s">
        <v>537</v>
      </c>
      <c r="G185" t="s">
        <v>15</v>
      </c>
      <c r="H185">
        <v>0</v>
      </c>
      <c r="J18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6" spans="1:10" x14ac:dyDescent="0.35">
      <c r="A186" t="s">
        <v>538</v>
      </c>
      <c r="B186" t="s">
        <v>539</v>
      </c>
      <c r="C186" t="s">
        <v>481</v>
      </c>
      <c r="D186" t="s">
        <v>12</v>
      </c>
      <c r="E186" t="s">
        <v>17</v>
      </c>
      <c r="F186" t="s">
        <v>540</v>
      </c>
      <c r="G186" t="s">
        <v>15</v>
      </c>
      <c r="H186">
        <v>15663.12</v>
      </c>
      <c r="J186">
        <f>CEILING((Query1[[#This Row],[Cost Price ( MYR )]] / (1 - _xlfn.XLOOKUP(Query1[[#This Row],[Business Unit]], Margins!A:A, Margins!C:C))) * (1 - _xlfn.XLOOKUP(Query1[[#This Row],[Business Unit]], Margins!A:A, Margins!D:D)),5)</f>
        <v>27860</v>
      </c>
    </row>
    <row r="187" spans="1:10" x14ac:dyDescent="0.35">
      <c r="A187" t="s">
        <v>541</v>
      </c>
      <c r="B187" t="s">
        <v>542</v>
      </c>
      <c r="C187" t="s">
        <v>481</v>
      </c>
      <c r="D187" t="s">
        <v>12</v>
      </c>
      <c r="E187" t="s">
        <v>17</v>
      </c>
      <c r="F187" t="s">
        <v>543</v>
      </c>
      <c r="G187" t="s">
        <v>15</v>
      </c>
      <c r="H187">
        <v>23260.23</v>
      </c>
      <c r="J187">
        <f>CEILING((Query1[[#This Row],[Cost Price ( MYR )]] / (1 - _xlfn.XLOOKUP(Query1[[#This Row],[Business Unit]], Margins!A:A, Margins!C:C))) * (1 - _xlfn.XLOOKUP(Query1[[#This Row],[Business Unit]], Margins!A:A, Margins!D:D)),5)</f>
        <v>41375</v>
      </c>
    </row>
    <row r="188" spans="1:10" x14ac:dyDescent="0.35">
      <c r="A188" t="s">
        <v>544</v>
      </c>
      <c r="B188" t="s">
        <v>545</v>
      </c>
      <c r="C188" t="s">
        <v>481</v>
      </c>
      <c r="D188" t="s">
        <v>12</v>
      </c>
      <c r="E188" t="s">
        <v>17</v>
      </c>
      <c r="F188" t="s">
        <v>546</v>
      </c>
      <c r="G188" t="s">
        <v>15</v>
      </c>
      <c r="H188">
        <v>0</v>
      </c>
      <c r="J18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89" spans="1:10" x14ac:dyDescent="0.35">
      <c r="A189" t="s">
        <v>547</v>
      </c>
      <c r="B189" t="s">
        <v>548</v>
      </c>
      <c r="C189" t="s">
        <v>481</v>
      </c>
      <c r="D189" t="s">
        <v>152</v>
      </c>
      <c r="E189" t="s">
        <v>246</v>
      </c>
      <c r="F189" t="s">
        <v>549</v>
      </c>
      <c r="H189">
        <v>0</v>
      </c>
      <c r="J18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90" spans="1:10" x14ac:dyDescent="0.35">
      <c r="A190" t="s">
        <v>550</v>
      </c>
      <c r="B190" t="s">
        <v>551</v>
      </c>
      <c r="C190" t="s">
        <v>481</v>
      </c>
      <c r="D190" t="s">
        <v>152</v>
      </c>
      <c r="E190" t="s">
        <v>246</v>
      </c>
      <c r="F190" t="s">
        <v>552</v>
      </c>
      <c r="H190">
        <v>0</v>
      </c>
      <c r="J19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91" spans="1:10" x14ac:dyDescent="0.35">
      <c r="A191" t="s">
        <v>553</v>
      </c>
      <c r="B191" t="s">
        <v>554</v>
      </c>
      <c r="C191" t="s">
        <v>481</v>
      </c>
      <c r="D191" t="s">
        <v>152</v>
      </c>
      <c r="E191" t="s">
        <v>246</v>
      </c>
      <c r="F191" t="s">
        <v>555</v>
      </c>
      <c r="H191">
        <v>4.32</v>
      </c>
      <c r="J191">
        <f>CEILING((Query1[[#This Row],[Cost Price ( MYR )]] / (1 - _xlfn.XLOOKUP(Query1[[#This Row],[Business Unit]], Margins!A:A, Margins!C:C))) * (1 - _xlfn.XLOOKUP(Query1[[#This Row],[Business Unit]], Margins!A:A, Margins!D:D)),5)</f>
        <v>10</v>
      </c>
    </row>
    <row r="192" spans="1:10" x14ac:dyDescent="0.35">
      <c r="A192" t="s">
        <v>556</v>
      </c>
      <c r="B192" t="s">
        <v>557</v>
      </c>
      <c r="C192" t="s">
        <v>481</v>
      </c>
      <c r="D192" t="s">
        <v>152</v>
      </c>
      <c r="E192" t="s">
        <v>246</v>
      </c>
      <c r="F192" t="s">
        <v>558</v>
      </c>
      <c r="H192">
        <v>0</v>
      </c>
      <c r="J19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93" spans="1:10" x14ac:dyDescent="0.35">
      <c r="A193" t="s">
        <v>559</v>
      </c>
      <c r="B193" t="s">
        <v>560</v>
      </c>
      <c r="C193" t="s">
        <v>481</v>
      </c>
      <c r="D193" t="s">
        <v>152</v>
      </c>
      <c r="E193" t="s">
        <v>118</v>
      </c>
      <c r="F193" t="s">
        <v>561</v>
      </c>
      <c r="H193">
        <v>0</v>
      </c>
      <c r="J19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94" spans="1:10" x14ac:dyDescent="0.35">
      <c r="A194" t="s">
        <v>562</v>
      </c>
      <c r="B194" t="s">
        <v>563</v>
      </c>
      <c r="C194" t="s">
        <v>481</v>
      </c>
      <c r="D194" t="s">
        <v>152</v>
      </c>
      <c r="E194" t="s">
        <v>118</v>
      </c>
      <c r="F194" t="s">
        <v>564</v>
      </c>
      <c r="H194">
        <v>0</v>
      </c>
      <c r="J19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95" spans="1:10" x14ac:dyDescent="0.35">
      <c r="A195" t="s">
        <v>565</v>
      </c>
      <c r="B195" t="s">
        <v>566</v>
      </c>
      <c r="C195" t="s">
        <v>481</v>
      </c>
      <c r="D195" t="s">
        <v>152</v>
      </c>
      <c r="E195" t="s">
        <v>118</v>
      </c>
      <c r="F195" t="s">
        <v>567</v>
      </c>
      <c r="H195">
        <v>14.29</v>
      </c>
      <c r="J195">
        <f>CEILING((Query1[[#This Row],[Cost Price ( MYR )]] / (1 - _xlfn.XLOOKUP(Query1[[#This Row],[Business Unit]], Margins!A:A, Margins!C:C))) * (1 - _xlfn.XLOOKUP(Query1[[#This Row],[Business Unit]], Margins!A:A, Margins!D:D)),5)</f>
        <v>30</v>
      </c>
    </row>
    <row r="196" spans="1:10" x14ac:dyDescent="0.35">
      <c r="A196" t="s">
        <v>568</v>
      </c>
      <c r="B196" t="s">
        <v>569</v>
      </c>
      <c r="C196" t="s">
        <v>481</v>
      </c>
      <c r="D196" t="s">
        <v>152</v>
      </c>
      <c r="E196" t="s">
        <v>118</v>
      </c>
      <c r="F196" t="s">
        <v>570</v>
      </c>
      <c r="H196">
        <v>0</v>
      </c>
      <c r="J19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197" spans="1:10" x14ac:dyDescent="0.35">
      <c r="A197" t="s">
        <v>571</v>
      </c>
      <c r="B197" t="s">
        <v>572</v>
      </c>
      <c r="C197" t="s">
        <v>481</v>
      </c>
      <c r="D197" t="s">
        <v>152</v>
      </c>
      <c r="E197" t="s">
        <v>118</v>
      </c>
      <c r="F197" t="s">
        <v>573</v>
      </c>
      <c r="H197">
        <v>276.62</v>
      </c>
      <c r="J197">
        <f>CEILING((Query1[[#This Row],[Cost Price ( MYR )]] / (1 - _xlfn.XLOOKUP(Query1[[#This Row],[Business Unit]], Margins!A:A, Margins!C:C))) * (1 - _xlfn.XLOOKUP(Query1[[#This Row],[Business Unit]], Margins!A:A, Margins!D:D)),5)</f>
        <v>495</v>
      </c>
    </row>
    <row r="198" spans="1:10" x14ac:dyDescent="0.35">
      <c r="A198" t="s">
        <v>574</v>
      </c>
      <c r="B198" t="s">
        <v>575</v>
      </c>
      <c r="C198" t="s">
        <v>481</v>
      </c>
      <c r="D198" t="s">
        <v>152</v>
      </c>
      <c r="E198" t="s">
        <v>118</v>
      </c>
      <c r="F198" t="s">
        <v>576</v>
      </c>
      <c r="H198">
        <v>64.94</v>
      </c>
      <c r="J198">
        <f>CEILING((Query1[[#This Row],[Cost Price ( MYR )]] / (1 - _xlfn.XLOOKUP(Query1[[#This Row],[Business Unit]], Margins!A:A, Margins!C:C))) * (1 - _xlfn.XLOOKUP(Query1[[#This Row],[Business Unit]], Margins!A:A, Margins!D:D)),5)</f>
        <v>120</v>
      </c>
    </row>
    <row r="199" spans="1:10" x14ac:dyDescent="0.35">
      <c r="B199" t="s">
        <v>577</v>
      </c>
      <c r="C199" t="s">
        <v>481</v>
      </c>
      <c r="D199" t="s">
        <v>152</v>
      </c>
      <c r="E199" t="s">
        <v>118</v>
      </c>
      <c r="F199" t="s">
        <v>578</v>
      </c>
      <c r="J19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00" spans="1:10" x14ac:dyDescent="0.35">
      <c r="A200" t="s">
        <v>579</v>
      </c>
      <c r="B200" t="s">
        <v>580</v>
      </c>
      <c r="C200" t="s">
        <v>481</v>
      </c>
      <c r="D200" t="s">
        <v>152</v>
      </c>
      <c r="E200" t="s">
        <v>118</v>
      </c>
      <c r="F200" t="s">
        <v>581</v>
      </c>
      <c r="H200">
        <v>142.86000000000001</v>
      </c>
      <c r="J200">
        <f>CEILING((Query1[[#This Row],[Cost Price ( MYR )]] / (1 - _xlfn.XLOOKUP(Query1[[#This Row],[Business Unit]], Margins!A:A, Margins!C:C))) * (1 - _xlfn.XLOOKUP(Query1[[#This Row],[Business Unit]], Margins!A:A, Margins!D:D)),5)</f>
        <v>255</v>
      </c>
    </row>
    <row r="201" spans="1:10" x14ac:dyDescent="0.35">
      <c r="A201" t="s">
        <v>582</v>
      </c>
      <c r="B201" t="s">
        <v>583</v>
      </c>
      <c r="C201" t="s">
        <v>481</v>
      </c>
      <c r="D201" t="s">
        <v>152</v>
      </c>
      <c r="E201" t="s">
        <v>118</v>
      </c>
      <c r="F201" t="s">
        <v>584</v>
      </c>
      <c r="H201">
        <v>142.86000000000001</v>
      </c>
      <c r="J201">
        <f>CEILING((Query1[[#This Row],[Cost Price ( MYR )]] / (1 - _xlfn.XLOOKUP(Query1[[#This Row],[Business Unit]], Margins!A:A, Margins!C:C))) * (1 - _xlfn.XLOOKUP(Query1[[#This Row],[Business Unit]], Margins!A:A, Margins!D:D)),5)</f>
        <v>255</v>
      </c>
    </row>
    <row r="202" spans="1:10" x14ac:dyDescent="0.35">
      <c r="A202" t="s">
        <v>585</v>
      </c>
      <c r="B202" t="s">
        <v>586</v>
      </c>
      <c r="C202" t="s">
        <v>481</v>
      </c>
      <c r="D202" t="s">
        <v>152</v>
      </c>
      <c r="E202" t="s">
        <v>118</v>
      </c>
      <c r="F202" t="s">
        <v>587</v>
      </c>
      <c r="H202">
        <v>77.92</v>
      </c>
      <c r="J202">
        <f>CEILING((Query1[[#This Row],[Cost Price ( MYR )]] / (1 - _xlfn.XLOOKUP(Query1[[#This Row],[Business Unit]], Margins!A:A, Margins!C:C))) * (1 - _xlfn.XLOOKUP(Query1[[#This Row],[Business Unit]], Margins!A:A, Margins!D:D)),5)</f>
        <v>140</v>
      </c>
    </row>
    <row r="203" spans="1:10" x14ac:dyDescent="0.35">
      <c r="A203" t="s">
        <v>588</v>
      </c>
      <c r="B203" t="s">
        <v>589</v>
      </c>
      <c r="C203" t="s">
        <v>481</v>
      </c>
      <c r="D203" t="s">
        <v>152</v>
      </c>
      <c r="E203" t="s">
        <v>118</v>
      </c>
      <c r="F203" t="s">
        <v>590</v>
      </c>
      <c r="H203">
        <v>298.7</v>
      </c>
      <c r="J203">
        <f>CEILING((Query1[[#This Row],[Cost Price ( MYR )]] / (1 - _xlfn.XLOOKUP(Query1[[#This Row],[Business Unit]], Margins!A:A, Margins!C:C))) * (1 - _xlfn.XLOOKUP(Query1[[#This Row],[Business Unit]], Margins!A:A, Margins!D:D)),5)</f>
        <v>535</v>
      </c>
    </row>
    <row r="204" spans="1:10" x14ac:dyDescent="0.35">
      <c r="A204" t="s">
        <v>591</v>
      </c>
      <c r="B204" t="s">
        <v>592</v>
      </c>
      <c r="C204" t="s">
        <v>481</v>
      </c>
      <c r="D204" t="s">
        <v>152</v>
      </c>
      <c r="E204" t="s">
        <v>118</v>
      </c>
      <c r="F204" t="s">
        <v>593</v>
      </c>
      <c r="H204">
        <v>0</v>
      </c>
      <c r="J20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05" spans="1:10" x14ac:dyDescent="0.35">
      <c r="A205" t="s">
        <v>594</v>
      </c>
      <c r="B205" t="s">
        <v>595</v>
      </c>
      <c r="C205" t="s">
        <v>481</v>
      </c>
      <c r="D205" t="s">
        <v>152</v>
      </c>
      <c r="E205" t="s">
        <v>118</v>
      </c>
      <c r="F205" t="s">
        <v>596</v>
      </c>
      <c r="H205">
        <v>430</v>
      </c>
      <c r="J205">
        <f>CEILING((Query1[[#This Row],[Cost Price ( MYR )]] / (1 - _xlfn.XLOOKUP(Query1[[#This Row],[Business Unit]], Margins!A:A, Margins!C:C))) * (1 - _xlfn.XLOOKUP(Query1[[#This Row],[Business Unit]], Margins!A:A, Margins!D:D)),5)</f>
        <v>765</v>
      </c>
    </row>
    <row r="206" spans="1:10" x14ac:dyDescent="0.35">
      <c r="A206" t="s">
        <v>597</v>
      </c>
      <c r="B206" t="s">
        <v>598</v>
      </c>
      <c r="C206" t="s">
        <v>481</v>
      </c>
      <c r="D206" t="s">
        <v>152</v>
      </c>
      <c r="E206" t="s">
        <v>118</v>
      </c>
      <c r="F206" t="s">
        <v>599</v>
      </c>
      <c r="H206">
        <v>368</v>
      </c>
      <c r="J206">
        <f>CEILING((Query1[[#This Row],[Cost Price ( MYR )]] / (1 - _xlfn.XLOOKUP(Query1[[#This Row],[Business Unit]], Margins!A:A, Margins!C:C))) * (1 - _xlfn.XLOOKUP(Query1[[#This Row],[Business Unit]], Margins!A:A, Margins!D:D)),5)</f>
        <v>655</v>
      </c>
    </row>
    <row r="207" spans="1:10" x14ac:dyDescent="0.35">
      <c r="A207" t="s">
        <v>600</v>
      </c>
      <c r="B207" t="s">
        <v>601</v>
      </c>
      <c r="C207" t="s">
        <v>481</v>
      </c>
      <c r="D207" t="s">
        <v>152</v>
      </c>
      <c r="E207" t="s">
        <v>118</v>
      </c>
      <c r="F207" t="s">
        <v>602</v>
      </c>
      <c r="H207">
        <v>145.04</v>
      </c>
      <c r="J207">
        <f>CEILING((Query1[[#This Row],[Cost Price ( MYR )]] / (1 - _xlfn.XLOOKUP(Query1[[#This Row],[Business Unit]], Margins!A:A, Margins!C:C))) * (1 - _xlfn.XLOOKUP(Query1[[#This Row],[Business Unit]], Margins!A:A, Margins!D:D)),5)</f>
        <v>260</v>
      </c>
    </row>
    <row r="208" spans="1:10" x14ac:dyDescent="0.35">
      <c r="B208" t="s">
        <v>603</v>
      </c>
      <c r="C208" t="s">
        <v>604</v>
      </c>
      <c r="D208" t="s">
        <v>605</v>
      </c>
      <c r="E208" t="s">
        <v>606</v>
      </c>
      <c r="G208" t="s">
        <v>607</v>
      </c>
      <c r="J20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09" spans="1:10" x14ac:dyDescent="0.35">
      <c r="A209" t="s">
        <v>608</v>
      </c>
      <c r="B209" t="s">
        <v>609</v>
      </c>
      <c r="C209" t="s">
        <v>604</v>
      </c>
      <c r="D209" t="s">
        <v>605</v>
      </c>
      <c r="E209" t="s">
        <v>606</v>
      </c>
      <c r="F209" t="s">
        <v>610</v>
      </c>
      <c r="G209" t="s">
        <v>607</v>
      </c>
      <c r="H209">
        <v>1235</v>
      </c>
      <c r="J209">
        <f>CEILING((Query1[[#This Row],[Cost Price ( MYR )]] / (1 - _xlfn.XLOOKUP(Query1[[#This Row],[Business Unit]], Margins!A:A, Margins!C:C))) * (1 - _xlfn.XLOOKUP(Query1[[#This Row],[Business Unit]], Margins!A:A, Margins!D:D)),5)</f>
        <v>2200</v>
      </c>
    </row>
    <row r="210" spans="1:10" x14ac:dyDescent="0.35">
      <c r="A210" t="s">
        <v>611</v>
      </c>
      <c r="B210" t="s">
        <v>612</v>
      </c>
      <c r="C210" t="s">
        <v>604</v>
      </c>
      <c r="D210" t="s">
        <v>605</v>
      </c>
      <c r="E210" t="s">
        <v>606</v>
      </c>
      <c r="F210" t="s">
        <v>613</v>
      </c>
      <c r="G210" t="s">
        <v>607</v>
      </c>
      <c r="H210">
        <v>0</v>
      </c>
      <c r="J21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11" spans="1:10" x14ac:dyDescent="0.35">
      <c r="A211" t="s">
        <v>614</v>
      </c>
      <c r="B211" t="s">
        <v>615</v>
      </c>
      <c r="C211" t="s">
        <v>604</v>
      </c>
      <c r="D211" t="s">
        <v>616</v>
      </c>
      <c r="E211" t="s">
        <v>617</v>
      </c>
      <c r="F211" t="s">
        <v>618</v>
      </c>
      <c r="G211" t="s">
        <v>619</v>
      </c>
      <c r="H211">
        <v>13.2</v>
      </c>
      <c r="J211">
        <f>CEILING((Query1[[#This Row],[Cost Price ( MYR )]] / (1 - _xlfn.XLOOKUP(Query1[[#This Row],[Business Unit]], Margins!A:A, Margins!C:C))) * (1 - _xlfn.XLOOKUP(Query1[[#This Row],[Business Unit]], Margins!A:A, Margins!D:D)),5)</f>
        <v>25</v>
      </c>
    </row>
    <row r="212" spans="1:10" x14ac:dyDescent="0.35">
      <c r="A212" t="s">
        <v>620</v>
      </c>
      <c r="B212" t="s">
        <v>621</v>
      </c>
      <c r="C212" t="s">
        <v>604</v>
      </c>
      <c r="D212" t="s">
        <v>616</v>
      </c>
      <c r="E212" t="s">
        <v>617</v>
      </c>
      <c r="F212" t="s">
        <v>622</v>
      </c>
      <c r="G212" t="s">
        <v>619</v>
      </c>
      <c r="H212">
        <v>17.600000000000001</v>
      </c>
      <c r="J212">
        <f>CEILING((Query1[[#This Row],[Cost Price ( MYR )]] / (1 - _xlfn.XLOOKUP(Query1[[#This Row],[Business Unit]], Margins!A:A, Margins!C:C))) * (1 - _xlfn.XLOOKUP(Query1[[#This Row],[Business Unit]], Margins!A:A, Margins!D:D)),5)</f>
        <v>35</v>
      </c>
    </row>
    <row r="213" spans="1:10" x14ac:dyDescent="0.35">
      <c r="A213" t="s">
        <v>623</v>
      </c>
      <c r="B213" t="s">
        <v>624</v>
      </c>
      <c r="C213" t="s">
        <v>604</v>
      </c>
      <c r="D213" t="s">
        <v>616</v>
      </c>
      <c r="E213" t="s">
        <v>617</v>
      </c>
      <c r="F213" t="s">
        <v>625</v>
      </c>
      <c r="G213" t="s">
        <v>619</v>
      </c>
      <c r="H213">
        <v>550</v>
      </c>
      <c r="J213">
        <f>CEILING((Query1[[#This Row],[Cost Price ( MYR )]] / (1 - _xlfn.XLOOKUP(Query1[[#This Row],[Business Unit]], Margins!A:A, Margins!C:C))) * (1 - _xlfn.XLOOKUP(Query1[[#This Row],[Business Unit]], Margins!A:A, Margins!D:D)),5)</f>
        <v>980</v>
      </c>
    </row>
    <row r="214" spans="1:10" x14ac:dyDescent="0.35">
      <c r="A214" t="s">
        <v>626</v>
      </c>
      <c r="B214" t="s">
        <v>627</v>
      </c>
      <c r="C214" t="s">
        <v>604</v>
      </c>
      <c r="D214" t="s">
        <v>616</v>
      </c>
      <c r="E214" t="s">
        <v>617</v>
      </c>
      <c r="F214" t="s">
        <v>628</v>
      </c>
      <c r="G214" t="s">
        <v>619</v>
      </c>
      <c r="H214">
        <v>704</v>
      </c>
      <c r="J214">
        <f>CEILING((Query1[[#This Row],[Cost Price ( MYR )]] / (1 - _xlfn.XLOOKUP(Query1[[#This Row],[Business Unit]], Margins!A:A, Margins!C:C))) * (1 - _xlfn.XLOOKUP(Query1[[#This Row],[Business Unit]], Margins!A:A, Margins!D:D)),5)</f>
        <v>1255</v>
      </c>
    </row>
    <row r="215" spans="1:10" x14ac:dyDescent="0.35">
      <c r="A215" t="s">
        <v>629</v>
      </c>
      <c r="B215" t="s">
        <v>630</v>
      </c>
      <c r="C215" t="s">
        <v>604</v>
      </c>
      <c r="D215" t="s">
        <v>616</v>
      </c>
      <c r="E215" t="s">
        <v>617</v>
      </c>
      <c r="F215" t="s">
        <v>631</v>
      </c>
      <c r="G215" t="s">
        <v>619</v>
      </c>
      <c r="H215">
        <v>1100</v>
      </c>
      <c r="J215">
        <f>CEILING((Query1[[#This Row],[Cost Price ( MYR )]] / (1 - _xlfn.XLOOKUP(Query1[[#This Row],[Business Unit]], Margins!A:A, Margins!C:C))) * (1 - _xlfn.XLOOKUP(Query1[[#This Row],[Business Unit]], Margins!A:A, Margins!D:D)),5)</f>
        <v>1960</v>
      </c>
    </row>
    <row r="216" spans="1:10" x14ac:dyDescent="0.35">
      <c r="A216" t="s">
        <v>632</v>
      </c>
      <c r="B216" t="s">
        <v>633</v>
      </c>
      <c r="C216" t="s">
        <v>604</v>
      </c>
      <c r="D216" t="s">
        <v>616</v>
      </c>
      <c r="E216" t="s">
        <v>617</v>
      </c>
      <c r="F216" t="s">
        <v>634</v>
      </c>
      <c r="G216" t="s">
        <v>619</v>
      </c>
      <c r="H216">
        <v>0</v>
      </c>
      <c r="J21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17" spans="1:10" x14ac:dyDescent="0.35">
      <c r="A217" t="s">
        <v>635</v>
      </c>
      <c r="B217" t="s">
        <v>636</v>
      </c>
      <c r="C217" t="s">
        <v>604</v>
      </c>
      <c r="D217" t="s">
        <v>616</v>
      </c>
      <c r="E217" t="s">
        <v>617</v>
      </c>
      <c r="F217" t="s">
        <v>637</v>
      </c>
      <c r="G217" t="s">
        <v>619</v>
      </c>
      <c r="H217">
        <v>4.4000000000000004</v>
      </c>
      <c r="J217">
        <f>CEILING((Query1[[#This Row],[Cost Price ( MYR )]] / (1 - _xlfn.XLOOKUP(Query1[[#This Row],[Business Unit]], Margins!A:A, Margins!C:C))) * (1 - _xlfn.XLOOKUP(Query1[[#This Row],[Business Unit]], Margins!A:A, Margins!D:D)),5)</f>
        <v>10</v>
      </c>
    </row>
    <row r="218" spans="1:10" x14ac:dyDescent="0.35">
      <c r="A218" t="s">
        <v>638</v>
      </c>
      <c r="B218" t="s">
        <v>639</v>
      </c>
      <c r="C218" t="s">
        <v>604</v>
      </c>
      <c r="D218" t="s">
        <v>616</v>
      </c>
      <c r="E218" t="s">
        <v>617</v>
      </c>
      <c r="F218" t="s">
        <v>640</v>
      </c>
      <c r="G218" t="s">
        <v>619</v>
      </c>
      <c r="H218">
        <v>0</v>
      </c>
      <c r="J21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19" spans="1:10" x14ac:dyDescent="0.35">
      <c r="A219" t="s">
        <v>641</v>
      </c>
      <c r="B219" t="s">
        <v>642</v>
      </c>
      <c r="C219" t="s">
        <v>604</v>
      </c>
      <c r="D219" t="s">
        <v>616</v>
      </c>
      <c r="E219" t="s">
        <v>617</v>
      </c>
      <c r="F219" t="s">
        <v>643</v>
      </c>
      <c r="G219" t="s">
        <v>619</v>
      </c>
      <c r="H219">
        <v>0</v>
      </c>
      <c r="J21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20" spans="1:10" x14ac:dyDescent="0.35">
      <c r="A220" t="s">
        <v>644</v>
      </c>
      <c r="B220" t="s">
        <v>645</v>
      </c>
      <c r="C220" t="s">
        <v>604</v>
      </c>
      <c r="D220" t="s">
        <v>616</v>
      </c>
      <c r="E220" t="s">
        <v>617</v>
      </c>
      <c r="F220" t="s">
        <v>646</v>
      </c>
      <c r="G220" t="s">
        <v>619</v>
      </c>
      <c r="H220">
        <v>17.600000000000001</v>
      </c>
      <c r="J220">
        <f>CEILING((Query1[[#This Row],[Cost Price ( MYR )]] / (1 - _xlfn.XLOOKUP(Query1[[#This Row],[Business Unit]], Margins!A:A, Margins!C:C))) * (1 - _xlfn.XLOOKUP(Query1[[#This Row],[Business Unit]], Margins!A:A, Margins!D:D)),5)</f>
        <v>35</v>
      </c>
    </row>
    <row r="221" spans="1:10" x14ac:dyDescent="0.35">
      <c r="A221" t="s">
        <v>647</v>
      </c>
      <c r="B221" t="s">
        <v>648</v>
      </c>
      <c r="C221" t="s">
        <v>604</v>
      </c>
      <c r="D221" t="s">
        <v>616</v>
      </c>
      <c r="E221" t="s">
        <v>617</v>
      </c>
      <c r="F221" t="s">
        <v>649</v>
      </c>
      <c r="G221" t="s">
        <v>619</v>
      </c>
      <c r="H221">
        <v>506</v>
      </c>
      <c r="J221">
        <f>CEILING((Query1[[#This Row],[Cost Price ( MYR )]] / (1 - _xlfn.XLOOKUP(Query1[[#This Row],[Business Unit]], Margins!A:A, Margins!C:C))) * (1 - _xlfn.XLOOKUP(Query1[[#This Row],[Business Unit]], Margins!A:A, Margins!D:D)),5)</f>
        <v>905</v>
      </c>
    </row>
    <row r="222" spans="1:10" x14ac:dyDescent="0.35">
      <c r="A222" t="s">
        <v>650</v>
      </c>
      <c r="B222" t="s">
        <v>651</v>
      </c>
      <c r="C222" t="s">
        <v>604</v>
      </c>
      <c r="D222" t="s">
        <v>616</v>
      </c>
      <c r="E222" t="s">
        <v>617</v>
      </c>
      <c r="F222" t="s">
        <v>652</v>
      </c>
      <c r="G222" t="s">
        <v>619</v>
      </c>
      <c r="H222">
        <v>22728</v>
      </c>
      <c r="J222">
        <f>CEILING((Query1[[#This Row],[Cost Price ( MYR )]] / (1 - _xlfn.XLOOKUP(Query1[[#This Row],[Business Unit]], Margins!A:A, Margins!C:C))) * (1 - _xlfn.XLOOKUP(Query1[[#This Row],[Business Unit]], Margins!A:A, Margins!D:D)),5)</f>
        <v>40430</v>
      </c>
    </row>
    <row r="223" spans="1:10" x14ac:dyDescent="0.35">
      <c r="A223" t="s">
        <v>653</v>
      </c>
      <c r="B223" t="s">
        <v>654</v>
      </c>
      <c r="C223" t="s">
        <v>604</v>
      </c>
      <c r="D223" t="s">
        <v>616</v>
      </c>
      <c r="E223" t="s">
        <v>617</v>
      </c>
      <c r="F223" t="s">
        <v>655</v>
      </c>
      <c r="G223" t="s">
        <v>619</v>
      </c>
      <c r="H223">
        <v>0</v>
      </c>
      <c r="J22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24" spans="1:10" x14ac:dyDescent="0.35">
      <c r="A224" t="s">
        <v>656</v>
      </c>
      <c r="B224" t="s">
        <v>657</v>
      </c>
      <c r="C224" t="s">
        <v>604</v>
      </c>
      <c r="D224" t="s">
        <v>616</v>
      </c>
      <c r="E224" t="s">
        <v>617</v>
      </c>
      <c r="F224" t="s">
        <v>658</v>
      </c>
      <c r="G224" t="s">
        <v>619</v>
      </c>
      <c r="H224">
        <v>15.8</v>
      </c>
      <c r="J224">
        <f>CEILING((Query1[[#This Row],[Cost Price ( MYR )]] / (1 - _xlfn.XLOOKUP(Query1[[#This Row],[Business Unit]], Margins!A:A, Margins!C:C))) * (1 - _xlfn.XLOOKUP(Query1[[#This Row],[Business Unit]], Margins!A:A, Margins!D:D)),5)</f>
        <v>30</v>
      </c>
    </row>
    <row r="225" spans="1:10" x14ac:dyDescent="0.35">
      <c r="B225" t="s">
        <v>659</v>
      </c>
      <c r="C225" t="s">
        <v>604</v>
      </c>
      <c r="D225" t="s">
        <v>616</v>
      </c>
      <c r="E225" t="s">
        <v>617</v>
      </c>
      <c r="G225" t="s">
        <v>607</v>
      </c>
      <c r="J22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26" spans="1:10" x14ac:dyDescent="0.35">
      <c r="B226" t="s">
        <v>660</v>
      </c>
      <c r="C226" t="s">
        <v>604</v>
      </c>
      <c r="D226" t="s">
        <v>616</v>
      </c>
      <c r="E226" t="s">
        <v>617</v>
      </c>
      <c r="G226" t="s">
        <v>607</v>
      </c>
      <c r="J22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27" spans="1:10" x14ac:dyDescent="0.35">
      <c r="B227" t="s">
        <v>661</v>
      </c>
      <c r="C227" t="s">
        <v>604</v>
      </c>
      <c r="D227" t="s">
        <v>616</v>
      </c>
      <c r="E227" t="s">
        <v>617</v>
      </c>
      <c r="F227" t="s">
        <v>662</v>
      </c>
      <c r="G227" t="s">
        <v>619</v>
      </c>
      <c r="J22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28" spans="1:10" x14ac:dyDescent="0.35">
      <c r="A228" t="s">
        <v>663</v>
      </c>
      <c r="B228" t="s">
        <v>664</v>
      </c>
      <c r="C228" t="s">
        <v>604</v>
      </c>
      <c r="D228" t="s">
        <v>616</v>
      </c>
      <c r="E228" t="s">
        <v>665</v>
      </c>
      <c r="F228" t="s">
        <v>666</v>
      </c>
      <c r="G228" t="s">
        <v>667</v>
      </c>
      <c r="H228">
        <v>3525</v>
      </c>
      <c r="J228">
        <f>CEILING((Query1[[#This Row],[Cost Price ( MYR )]] / (1 - _xlfn.XLOOKUP(Query1[[#This Row],[Business Unit]], Margins!A:A, Margins!C:C))) * (1 - _xlfn.XLOOKUP(Query1[[#This Row],[Business Unit]], Margins!A:A, Margins!D:D)),5)</f>
        <v>6270</v>
      </c>
    </row>
    <row r="229" spans="1:10" x14ac:dyDescent="0.35">
      <c r="A229" t="s">
        <v>668</v>
      </c>
      <c r="B229" t="s">
        <v>669</v>
      </c>
      <c r="C229" t="s">
        <v>604</v>
      </c>
      <c r="D229" t="s">
        <v>616</v>
      </c>
      <c r="E229" t="s">
        <v>665</v>
      </c>
      <c r="F229" t="s">
        <v>670</v>
      </c>
      <c r="G229" t="s">
        <v>667</v>
      </c>
      <c r="H229">
        <v>5060</v>
      </c>
      <c r="J229">
        <f>CEILING((Query1[[#This Row],[Cost Price ( MYR )]] / (1 - _xlfn.XLOOKUP(Query1[[#This Row],[Business Unit]], Margins!A:A, Margins!C:C))) * (1 - _xlfn.XLOOKUP(Query1[[#This Row],[Business Unit]], Margins!A:A, Margins!D:D)),5)</f>
        <v>9005</v>
      </c>
    </row>
    <row r="230" spans="1:10" x14ac:dyDescent="0.35">
      <c r="B230" t="s">
        <v>671</v>
      </c>
      <c r="C230" t="s">
        <v>604</v>
      </c>
      <c r="D230" t="s">
        <v>616</v>
      </c>
      <c r="E230" t="s">
        <v>665</v>
      </c>
      <c r="F230" t="s">
        <v>672</v>
      </c>
      <c r="G230" t="s">
        <v>667</v>
      </c>
      <c r="J23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31" spans="1:10" x14ac:dyDescent="0.35">
      <c r="A231" t="s">
        <v>673</v>
      </c>
      <c r="B231" t="s">
        <v>674</v>
      </c>
      <c r="C231" t="s">
        <v>604</v>
      </c>
      <c r="D231" t="s">
        <v>616</v>
      </c>
      <c r="E231" t="s">
        <v>665</v>
      </c>
      <c r="F231" t="s">
        <v>675</v>
      </c>
      <c r="G231" t="s">
        <v>667</v>
      </c>
      <c r="H231">
        <v>3370</v>
      </c>
      <c r="J231">
        <f>CEILING((Query1[[#This Row],[Cost Price ( MYR )]] / (1 - _xlfn.XLOOKUP(Query1[[#This Row],[Business Unit]], Margins!A:A, Margins!C:C))) * (1 - _xlfn.XLOOKUP(Query1[[#This Row],[Business Unit]], Margins!A:A, Margins!D:D)),5)</f>
        <v>5995</v>
      </c>
    </row>
    <row r="232" spans="1:10" x14ac:dyDescent="0.35">
      <c r="A232" t="s">
        <v>676</v>
      </c>
      <c r="B232" t="s">
        <v>677</v>
      </c>
      <c r="C232" t="s">
        <v>604</v>
      </c>
      <c r="D232" t="s">
        <v>616</v>
      </c>
      <c r="E232" t="s">
        <v>665</v>
      </c>
      <c r="F232" t="s">
        <v>678</v>
      </c>
      <c r="G232" t="s">
        <v>667</v>
      </c>
      <c r="H232">
        <v>3525</v>
      </c>
      <c r="J232">
        <f>CEILING((Query1[[#This Row],[Cost Price ( MYR )]] / (1 - _xlfn.XLOOKUP(Query1[[#This Row],[Business Unit]], Margins!A:A, Margins!C:C))) * (1 - _xlfn.XLOOKUP(Query1[[#This Row],[Business Unit]], Margins!A:A, Margins!D:D)),5)</f>
        <v>6270</v>
      </c>
    </row>
    <row r="233" spans="1:10" x14ac:dyDescent="0.35">
      <c r="A233" t="s">
        <v>679</v>
      </c>
      <c r="B233" t="s">
        <v>680</v>
      </c>
      <c r="C233" t="s">
        <v>604</v>
      </c>
      <c r="D233" t="s">
        <v>616</v>
      </c>
      <c r="E233" t="s">
        <v>665</v>
      </c>
      <c r="F233" t="s">
        <v>681</v>
      </c>
      <c r="G233" t="s">
        <v>667</v>
      </c>
      <c r="H233">
        <v>3575</v>
      </c>
      <c r="J233">
        <f>CEILING((Query1[[#This Row],[Cost Price ( MYR )]] / (1 - _xlfn.XLOOKUP(Query1[[#This Row],[Business Unit]], Margins!A:A, Margins!C:C))) * (1 - _xlfn.XLOOKUP(Query1[[#This Row],[Business Unit]], Margins!A:A, Margins!D:D)),5)</f>
        <v>6360</v>
      </c>
    </row>
    <row r="234" spans="1:10" x14ac:dyDescent="0.35">
      <c r="A234" t="s">
        <v>682</v>
      </c>
      <c r="B234" t="s">
        <v>683</v>
      </c>
      <c r="C234" t="s">
        <v>604</v>
      </c>
      <c r="D234" t="s">
        <v>616</v>
      </c>
      <c r="E234" t="s">
        <v>665</v>
      </c>
      <c r="F234" t="s">
        <v>684</v>
      </c>
      <c r="G234" t="s">
        <v>667</v>
      </c>
      <c r="H234">
        <v>3575</v>
      </c>
      <c r="J234">
        <f>CEILING((Query1[[#This Row],[Cost Price ( MYR )]] / (1 - _xlfn.XLOOKUP(Query1[[#This Row],[Business Unit]], Margins!A:A, Margins!C:C))) * (1 - _xlfn.XLOOKUP(Query1[[#This Row],[Business Unit]], Margins!A:A, Margins!D:D)),5)</f>
        <v>6360</v>
      </c>
    </row>
    <row r="235" spans="1:10" x14ac:dyDescent="0.35">
      <c r="A235" t="s">
        <v>685</v>
      </c>
      <c r="B235" t="s">
        <v>686</v>
      </c>
      <c r="C235" t="s">
        <v>604</v>
      </c>
      <c r="D235" t="s">
        <v>616</v>
      </c>
      <c r="E235" t="s">
        <v>665</v>
      </c>
      <c r="F235" t="s">
        <v>687</v>
      </c>
      <c r="G235" t="s">
        <v>667</v>
      </c>
      <c r="H235">
        <v>3800</v>
      </c>
      <c r="J235">
        <f>CEILING((Query1[[#This Row],[Cost Price ( MYR )]] / (1 - _xlfn.XLOOKUP(Query1[[#This Row],[Business Unit]], Margins!A:A, Margins!C:C))) * (1 - _xlfn.XLOOKUP(Query1[[#This Row],[Business Unit]], Margins!A:A, Margins!D:D)),5)</f>
        <v>6760</v>
      </c>
    </row>
    <row r="236" spans="1:10" x14ac:dyDescent="0.35">
      <c r="A236" t="s">
        <v>688</v>
      </c>
      <c r="B236" t="s">
        <v>689</v>
      </c>
      <c r="C236" t="s">
        <v>604</v>
      </c>
      <c r="D236" t="s">
        <v>616</v>
      </c>
      <c r="E236" t="s">
        <v>665</v>
      </c>
      <c r="F236" t="s">
        <v>690</v>
      </c>
      <c r="G236" t="s">
        <v>667</v>
      </c>
      <c r="H236">
        <v>0</v>
      </c>
      <c r="J23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37" spans="1:10" x14ac:dyDescent="0.35">
      <c r="A237" t="s">
        <v>691</v>
      </c>
      <c r="B237" t="s">
        <v>692</v>
      </c>
      <c r="C237" t="s">
        <v>604</v>
      </c>
      <c r="D237" t="s">
        <v>616</v>
      </c>
      <c r="E237" t="s">
        <v>665</v>
      </c>
      <c r="F237" t="s">
        <v>693</v>
      </c>
      <c r="G237" t="s">
        <v>667</v>
      </c>
      <c r="H237">
        <v>5060</v>
      </c>
      <c r="J237">
        <f>CEILING((Query1[[#This Row],[Cost Price ( MYR )]] / (1 - _xlfn.XLOOKUP(Query1[[#This Row],[Business Unit]], Margins!A:A, Margins!C:C))) * (1 - _xlfn.XLOOKUP(Query1[[#This Row],[Business Unit]], Margins!A:A, Margins!D:D)),5)</f>
        <v>9005</v>
      </c>
    </row>
    <row r="238" spans="1:10" x14ac:dyDescent="0.35">
      <c r="A238" t="s">
        <v>694</v>
      </c>
      <c r="B238" t="s">
        <v>695</v>
      </c>
      <c r="C238" t="s">
        <v>604</v>
      </c>
      <c r="D238" t="s">
        <v>616</v>
      </c>
      <c r="E238" t="s">
        <v>665</v>
      </c>
      <c r="F238" t="s">
        <v>696</v>
      </c>
      <c r="G238" t="s">
        <v>667</v>
      </c>
      <c r="H238">
        <v>1970</v>
      </c>
      <c r="J238">
        <f>CEILING((Query1[[#This Row],[Cost Price ( MYR )]] / (1 - _xlfn.XLOOKUP(Query1[[#This Row],[Business Unit]], Margins!A:A, Margins!C:C))) * (1 - _xlfn.XLOOKUP(Query1[[#This Row],[Business Unit]], Margins!A:A, Margins!D:D)),5)</f>
        <v>3505</v>
      </c>
    </row>
    <row r="239" spans="1:10" x14ac:dyDescent="0.35">
      <c r="A239" t="s">
        <v>697</v>
      </c>
      <c r="B239" t="s">
        <v>698</v>
      </c>
      <c r="C239" t="s">
        <v>604</v>
      </c>
      <c r="D239" t="s">
        <v>616</v>
      </c>
      <c r="E239" t="s">
        <v>665</v>
      </c>
      <c r="F239" t="s">
        <v>699</v>
      </c>
      <c r="G239" t="s">
        <v>667</v>
      </c>
      <c r="H239">
        <v>1970</v>
      </c>
      <c r="J239">
        <f>CEILING((Query1[[#This Row],[Cost Price ( MYR )]] / (1 - _xlfn.XLOOKUP(Query1[[#This Row],[Business Unit]], Margins!A:A, Margins!C:C))) * (1 - _xlfn.XLOOKUP(Query1[[#This Row],[Business Unit]], Margins!A:A, Margins!D:D)),5)</f>
        <v>3505</v>
      </c>
    </row>
    <row r="240" spans="1:10" x14ac:dyDescent="0.35">
      <c r="A240" t="s">
        <v>700</v>
      </c>
      <c r="B240" t="s">
        <v>701</v>
      </c>
      <c r="C240" t="s">
        <v>604</v>
      </c>
      <c r="D240" t="s">
        <v>616</v>
      </c>
      <c r="E240" t="s">
        <v>665</v>
      </c>
      <c r="F240" t="s">
        <v>702</v>
      </c>
      <c r="G240" t="s">
        <v>667</v>
      </c>
      <c r="H240">
        <v>3080</v>
      </c>
      <c r="J240">
        <f>CEILING((Query1[[#This Row],[Cost Price ( MYR )]] / (1 - _xlfn.XLOOKUP(Query1[[#This Row],[Business Unit]], Margins!A:A, Margins!C:C))) * (1 - _xlfn.XLOOKUP(Query1[[#This Row],[Business Unit]], Margins!A:A, Margins!D:D)),5)</f>
        <v>5480</v>
      </c>
    </row>
    <row r="241" spans="1:10" x14ac:dyDescent="0.35">
      <c r="A241" t="s">
        <v>703</v>
      </c>
      <c r="B241" t="s">
        <v>704</v>
      </c>
      <c r="C241" t="s">
        <v>604</v>
      </c>
      <c r="D241" t="s">
        <v>616</v>
      </c>
      <c r="E241" t="s">
        <v>665</v>
      </c>
      <c r="F241" t="s">
        <v>705</v>
      </c>
      <c r="G241" t="s">
        <v>667</v>
      </c>
      <c r="H241">
        <v>3080</v>
      </c>
      <c r="J241">
        <f>CEILING((Query1[[#This Row],[Cost Price ( MYR )]] / (1 - _xlfn.XLOOKUP(Query1[[#This Row],[Business Unit]], Margins!A:A, Margins!C:C))) * (1 - _xlfn.XLOOKUP(Query1[[#This Row],[Business Unit]], Margins!A:A, Margins!D:D)),5)</f>
        <v>5480</v>
      </c>
    </row>
    <row r="242" spans="1:10" x14ac:dyDescent="0.35">
      <c r="A242" t="s">
        <v>706</v>
      </c>
      <c r="B242" t="s">
        <v>707</v>
      </c>
      <c r="C242" t="s">
        <v>604</v>
      </c>
      <c r="D242" t="s">
        <v>616</v>
      </c>
      <c r="E242" t="s">
        <v>665</v>
      </c>
      <c r="F242" t="s">
        <v>708</v>
      </c>
      <c r="G242" t="s">
        <v>667</v>
      </c>
      <c r="H242">
        <v>3370</v>
      </c>
      <c r="J242">
        <f>CEILING((Query1[[#This Row],[Cost Price ( MYR )]] / (1 - _xlfn.XLOOKUP(Query1[[#This Row],[Business Unit]], Margins!A:A, Margins!C:C))) * (1 - _xlfn.XLOOKUP(Query1[[#This Row],[Business Unit]], Margins!A:A, Margins!D:D)),5)</f>
        <v>5995</v>
      </c>
    </row>
    <row r="243" spans="1:10" x14ac:dyDescent="0.35">
      <c r="A243" t="s">
        <v>709</v>
      </c>
      <c r="B243" t="s">
        <v>710</v>
      </c>
      <c r="C243" t="s">
        <v>604</v>
      </c>
      <c r="D243" t="s">
        <v>616</v>
      </c>
      <c r="E243" t="s">
        <v>665</v>
      </c>
      <c r="F243" t="s">
        <v>711</v>
      </c>
      <c r="G243" t="s">
        <v>667</v>
      </c>
      <c r="H243">
        <v>3370</v>
      </c>
      <c r="J243">
        <f>CEILING((Query1[[#This Row],[Cost Price ( MYR )]] / (1 - _xlfn.XLOOKUP(Query1[[#This Row],[Business Unit]], Margins!A:A, Margins!C:C))) * (1 - _xlfn.XLOOKUP(Query1[[#This Row],[Business Unit]], Margins!A:A, Margins!D:D)),5)</f>
        <v>5995</v>
      </c>
    </row>
    <row r="244" spans="1:10" x14ac:dyDescent="0.35">
      <c r="A244" t="s">
        <v>712</v>
      </c>
      <c r="B244" t="s">
        <v>713</v>
      </c>
      <c r="C244" t="s">
        <v>604</v>
      </c>
      <c r="D244" t="s">
        <v>616</v>
      </c>
      <c r="E244" t="s">
        <v>665</v>
      </c>
      <c r="F244" t="s">
        <v>714</v>
      </c>
      <c r="G244" t="s">
        <v>667</v>
      </c>
      <c r="H244">
        <v>3370</v>
      </c>
      <c r="J244">
        <f>CEILING((Query1[[#This Row],[Cost Price ( MYR )]] / (1 - _xlfn.XLOOKUP(Query1[[#This Row],[Business Unit]], Margins!A:A, Margins!C:C))) * (1 - _xlfn.XLOOKUP(Query1[[#This Row],[Business Unit]], Margins!A:A, Margins!D:D)),5)</f>
        <v>5995</v>
      </c>
    </row>
    <row r="245" spans="1:10" x14ac:dyDescent="0.35">
      <c r="A245" t="s">
        <v>715</v>
      </c>
      <c r="B245" t="s">
        <v>716</v>
      </c>
      <c r="C245" t="s">
        <v>604</v>
      </c>
      <c r="D245" t="s">
        <v>616</v>
      </c>
      <c r="E245" t="s">
        <v>665</v>
      </c>
      <c r="F245" t="s">
        <v>717</v>
      </c>
      <c r="G245" t="s">
        <v>607</v>
      </c>
      <c r="H245">
        <v>0</v>
      </c>
      <c r="J24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46" spans="1:10" x14ac:dyDescent="0.35">
      <c r="A246" t="s">
        <v>718</v>
      </c>
      <c r="B246" t="s">
        <v>719</v>
      </c>
      <c r="C246" t="s">
        <v>604</v>
      </c>
      <c r="D246" t="s">
        <v>616</v>
      </c>
      <c r="E246" t="s">
        <v>665</v>
      </c>
      <c r="F246" t="s">
        <v>720</v>
      </c>
      <c r="G246" t="s">
        <v>607</v>
      </c>
      <c r="H246">
        <v>0</v>
      </c>
      <c r="J24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47" spans="1:10" x14ac:dyDescent="0.35">
      <c r="A247" t="s">
        <v>721</v>
      </c>
      <c r="B247" t="s">
        <v>722</v>
      </c>
      <c r="C247" t="s">
        <v>604</v>
      </c>
      <c r="D247" t="s">
        <v>616</v>
      </c>
      <c r="E247" t="s">
        <v>665</v>
      </c>
      <c r="F247" t="s">
        <v>723</v>
      </c>
      <c r="G247" t="s">
        <v>607</v>
      </c>
      <c r="H247">
        <v>0</v>
      </c>
      <c r="J24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48" spans="1:10" x14ac:dyDescent="0.35">
      <c r="A248" t="s">
        <v>724</v>
      </c>
      <c r="B248" t="s">
        <v>725</v>
      </c>
      <c r="C248" t="s">
        <v>604</v>
      </c>
      <c r="D248" t="s">
        <v>616</v>
      </c>
      <c r="E248" t="s">
        <v>665</v>
      </c>
      <c r="F248" t="s">
        <v>726</v>
      </c>
      <c r="G248" t="s">
        <v>607</v>
      </c>
      <c r="H248">
        <v>0</v>
      </c>
      <c r="J24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49" spans="1:10" x14ac:dyDescent="0.35">
      <c r="A249" t="s">
        <v>727</v>
      </c>
      <c r="B249" t="s">
        <v>728</v>
      </c>
      <c r="C249" t="s">
        <v>604</v>
      </c>
      <c r="D249" t="s">
        <v>616</v>
      </c>
      <c r="E249" t="s">
        <v>665</v>
      </c>
      <c r="F249" t="s">
        <v>729</v>
      </c>
      <c r="G249" t="s">
        <v>607</v>
      </c>
      <c r="H249">
        <v>1408</v>
      </c>
      <c r="J249">
        <f>CEILING((Query1[[#This Row],[Cost Price ( MYR )]] / (1 - _xlfn.XLOOKUP(Query1[[#This Row],[Business Unit]], Margins!A:A, Margins!C:C))) * (1 - _xlfn.XLOOKUP(Query1[[#This Row],[Business Unit]], Margins!A:A, Margins!D:D)),5)</f>
        <v>2505</v>
      </c>
    </row>
    <row r="250" spans="1:10" x14ac:dyDescent="0.35">
      <c r="A250" t="s">
        <v>730</v>
      </c>
      <c r="B250" t="s">
        <v>731</v>
      </c>
      <c r="C250" t="s">
        <v>604</v>
      </c>
      <c r="D250" t="s">
        <v>616</v>
      </c>
      <c r="E250" t="s">
        <v>665</v>
      </c>
      <c r="F250" t="s">
        <v>732</v>
      </c>
      <c r="G250" t="s">
        <v>607</v>
      </c>
      <c r="H250">
        <v>0</v>
      </c>
      <c r="J25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1" spans="1:10" x14ac:dyDescent="0.35">
      <c r="A251" t="s">
        <v>733</v>
      </c>
      <c r="B251" t="s">
        <v>734</v>
      </c>
      <c r="C251" t="s">
        <v>604</v>
      </c>
      <c r="D251" t="s">
        <v>616</v>
      </c>
      <c r="E251" t="s">
        <v>665</v>
      </c>
      <c r="F251" t="s">
        <v>735</v>
      </c>
      <c r="G251" t="s">
        <v>607</v>
      </c>
      <c r="H251">
        <v>0</v>
      </c>
      <c r="J25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2" spans="1:10" x14ac:dyDescent="0.35">
      <c r="B252" t="s">
        <v>736</v>
      </c>
      <c r="C252" t="s">
        <v>604</v>
      </c>
      <c r="D252" t="s">
        <v>616</v>
      </c>
      <c r="E252" t="s">
        <v>665</v>
      </c>
      <c r="F252" t="s">
        <v>737</v>
      </c>
      <c r="G252" t="s">
        <v>607</v>
      </c>
      <c r="J25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3" spans="1:10" x14ac:dyDescent="0.35">
      <c r="B253" t="s">
        <v>738</v>
      </c>
      <c r="C253" t="s">
        <v>604</v>
      </c>
      <c r="D253" t="s">
        <v>616</v>
      </c>
      <c r="E253" t="s">
        <v>665</v>
      </c>
      <c r="F253" t="s">
        <v>739</v>
      </c>
      <c r="G253" t="s">
        <v>607</v>
      </c>
      <c r="J25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4" spans="1:10" x14ac:dyDescent="0.35">
      <c r="B254" t="s">
        <v>740</v>
      </c>
      <c r="C254" t="s">
        <v>604</v>
      </c>
      <c r="D254" t="s">
        <v>616</v>
      </c>
      <c r="E254" t="s">
        <v>665</v>
      </c>
      <c r="F254" t="s">
        <v>741</v>
      </c>
      <c r="G254" t="s">
        <v>607</v>
      </c>
      <c r="J25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5" spans="1:10" x14ac:dyDescent="0.35">
      <c r="A255" t="s">
        <v>742</v>
      </c>
      <c r="B255" t="s">
        <v>743</v>
      </c>
      <c r="C255" t="s">
        <v>604</v>
      </c>
      <c r="D255" t="s">
        <v>616</v>
      </c>
      <c r="E255" t="s">
        <v>665</v>
      </c>
      <c r="F255" t="s">
        <v>744</v>
      </c>
      <c r="G255" t="s">
        <v>607</v>
      </c>
      <c r="H255">
        <v>8620</v>
      </c>
      <c r="J255">
        <f>CEILING((Query1[[#This Row],[Cost Price ( MYR )]] / (1 - _xlfn.XLOOKUP(Query1[[#This Row],[Business Unit]], Margins!A:A, Margins!C:C))) * (1 - _xlfn.XLOOKUP(Query1[[#This Row],[Business Unit]], Margins!A:A, Margins!D:D)),5)</f>
        <v>15335</v>
      </c>
    </row>
    <row r="256" spans="1:10" x14ac:dyDescent="0.35">
      <c r="A256" t="s">
        <v>745</v>
      </c>
      <c r="B256" t="s">
        <v>746</v>
      </c>
      <c r="C256" t="s">
        <v>604</v>
      </c>
      <c r="D256" t="s">
        <v>616</v>
      </c>
      <c r="E256" t="s">
        <v>665</v>
      </c>
      <c r="F256" t="s">
        <v>747</v>
      </c>
      <c r="G256" t="s">
        <v>607</v>
      </c>
      <c r="H256">
        <v>0</v>
      </c>
      <c r="J25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7" spans="1:10" x14ac:dyDescent="0.35">
      <c r="A257" t="s">
        <v>748</v>
      </c>
      <c r="B257" t="s">
        <v>749</v>
      </c>
      <c r="C257" t="s">
        <v>604</v>
      </c>
      <c r="D257" t="s">
        <v>616</v>
      </c>
      <c r="E257" t="s">
        <v>665</v>
      </c>
      <c r="F257" t="s">
        <v>750</v>
      </c>
      <c r="G257" t="s">
        <v>607</v>
      </c>
      <c r="H257">
        <v>0</v>
      </c>
      <c r="J25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58" spans="1:10" x14ac:dyDescent="0.35">
      <c r="A258" t="s">
        <v>751</v>
      </c>
      <c r="B258" t="s">
        <v>752</v>
      </c>
      <c r="C258" t="s">
        <v>604</v>
      </c>
      <c r="D258" t="s">
        <v>616</v>
      </c>
      <c r="E258" t="s">
        <v>665</v>
      </c>
      <c r="F258" t="s">
        <v>753</v>
      </c>
      <c r="G258" t="s">
        <v>607</v>
      </c>
      <c r="H258">
        <v>1182.03</v>
      </c>
      <c r="J258">
        <f>CEILING((Query1[[#This Row],[Cost Price ( MYR )]] / (1 - _xlfn.XLOOKUP(Query1[[#This Row],[Business Unit]], Margins!A:A, Margins!C:C))) * (1 - _xlfn.XLOOKUP(Query1[[#This Row],[Business Unit]], Margins!A:A, Margins!D:D)),5)</f>
        <v>2105</v>
      </c>
    </row>
    <row r="259" spans="1:10" x14ac:dyDescent="0.35">
      <c r="A259" t="s">
        <v>754</v>
      </c>
      <c r="B259" t="s">
        <v>755</v>
      </c>
      <c r="C259" t="s">
        <v>604</v>
      </c>
      <c r="D259" t="s">
        <v>616</v>
      </c>
      <c r="E259" t="s">
        <v>665</v>
      </c>
      <c r="F259" t="s">
        <v>756</v>
      </c>
      <c r="G259" t="s">
        <v>607</v>
      </c>
      <c r="H259">
        <v>0</v>
      </c>
      <c r="J25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60" spans="1:10" x14ac:dyDescent="0.35">
      <c r="A260" t="s">
        <v>757</v>
      </c>
      <c r="B260" t="s">
        <v>758</v>
      </c>
      <c r="C260" t="s">
        <v>604</v>
      </c>
      <c r="D260" t="s">
        <v>616</v>
      </c>
      <c r="E260" t="s">
        <v>665</v>
      </c>
      <c r="F260" t="s">
        <v>759</v>
      </c>
      <c r="G260" t="s">
        <v>607</v>
      </c>
      <c r="H260">
        <v>0</v>
      </c>
      <c r="J26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61" spans="1:10" x14ac:dyDescent="0.35">
      <c r="A261" t="s">
        <v>760</v>
      </c>
      <c r="B261" t="s">
        <v>761</v>
      </c>
      <c r="C261" t="s">
        <v>604</v>
      </c>
      <c r="D261" t="s">
        <v>616</v>
      </c>
      <c r="E261" t="s">
        <v>665</v>
      </c>
      <c r="F261" t="s">
        <v>762</v>
      </c>
      <c r="G261" t="s">
        <v>763</v>
      </c>
      <c r="H261">
        <v>0</v>
      </c>
      <c r="J26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62" spans="1:10" x14ac:dyDescent="0.35">
      <c r="A262" t="s">
        <v>764</v>
      </c>
      <c r="B262" t="s">
        <v>765</v>
      </c>
      <c r="C262" t="s">
        <v>604</v>
      </c>
      <c r="D262" t="s">
        <v>616</v>
      </c>
      <c r="E262" t="s">
        <v>665</v>
      </c>
      <c r="F262" t="s">
        <v>766</v>
      </c>
      <c r="G262" t="s">
        <v>763</v>
      </c>
      <c r="H262">
        <v>6446</v>
      </c>
      <c r="J262">
        <f>CEILING((Query1[[#This Row],[Cost Price ( MYR )]] / (1 - _xlfn.XLOOKUP(Query1[[#This Row],[Business Unit]], Margins!A:A, Margins!C:C))) * (1 - _xlfn.XLOOKUP(Query1[[#This Row],[Business Unit]], Margins!A:A, Margins!D:D)),5)</f>
        <v>11470</v>
      </c>
    </row>
    <row r="263" spans="1:10" x14ac:dyDescent="0.35">
      <c r="A263" t="s">
        <v>767</v>
      </c>
      <c r="B263" t="s">
        <v>768</v>
      </c>
      <c r="C263" t="s">
        <v>604</v>
      </c>
      <c r="D263" t="s">
        <v>616</v>
      </c>
      <c r="E263" t="s">
        <v>665</v>
      </c>
      <c r="F263" t="s">
        <v>769</v>
      </c>
      <c r="G263" t="s">
        <v>763</v>
      </c>
      <c r="H263">
        <v>6575</v>
      </c>
      <c r="J263">
        <f>CEILING((Query1[[#This Row],[Cost Price ( MYR )]] / (1 - _xlfn.XLOOKUP(Query1[[#This Row],[Business Unit]], Margins!A:A, Margins!C:C))) * (1 - _xlfn.XLOOKUP(Query1[[#This Row],[Business Unit]], Margins!A:A, Margins!D:D)),5)</f>
        <v>11695</v>
      </c>
    </row>
    <row r="264" spans="1:10" x14ac:dyDescent="0.35">
      <c r="A264" t="s">
        <v>770</v>
      </c>
      <c r="B264" t="s">
        <v>771</v>
      </c>
      <c r="C264" t="s">
        <v>604</v>
      </c>
      <c r="D264" t="s">
        <v>616</v>
      </c>
      <c r="E264" t="s">
        <v>665</v>
      </c>
      <c r="F264" t="s">
        <v>772</v>
      </c>
      <c r="G264" t="s">
        <v>763</v>
      </c>
      <c r="H264">
        <v>3584</v>
      </c>
      <c r="J264">
        <f>CEILING((Query1[[#This Row],[Cost Price ( MYR )]] / (1 - _xlfn.XLOOKUP(Query1[[#This Row],[Business Unit]], Margins!A:A, Margins!C:C))) * (1 - _xlfn.XLOOKUP(Query1[[#This Row],[Business Unit]], Margins!A:A, Margins!D:D)),5)</f>
        <v>6375</v>
      </c>
    </row>
    <row r="265" spans="1:10" x14ac:dyDescent="0.35">
      <c r="A265" t="s">
        <v>773</v>
      </c>
      <c r="B265" t="s">
        <v>774</v>
      </c>
      <c r="C265" t="s">
        <v>604</v>
      </c>
      <c r="D265" t="s">
        <v>616</v>
      </c>
      <c r="E265" t="s">
        <v>665</v>
      </c>
      <c r="F265" t="s">
        <v>775</v>
      </c>
      <c r="G265" t="s">
        <v>776</v>
      </c>
      <c r="H265">
        <v>5060</v>
      </c>
      <c r="J265">
        <f>CEILING((Query1[[#This Row],[Cost Price ( MYR )]] / (1 - _xlfn.XLOOKUP(Query1[[#This Row],[Business Unit]], Margins!A:A, Margins!C:C))) * (1 - _xlfn.XLOOKUP(Query1[[#This Row],[Business Unit]], Margins!A:A, Margins!D:D)),5)</f>
        <v>9005</v>
      </c>
    </row>
    <row r="266" spans="1:10" x14ac:dyDescent="0.35">
      <c r="A266" t="s">
        <v>777</v>
      </c>
      <c r="B266" t="s">
        <v>778</v>
      </c>
      <c r="C266" t="s">
        <v>604</v>
      </c>
      <c r="D266" t="s">
        <v>616</v>
      </c>
      <c r="E266" t="s">
        <v>665</v>
      </c>
      <c r="F266" t="s">
        <v>779</v>
      </c>
      <c r="G266" t="s">
        <v>776</v>
      </c>
      <c r="H266">
        <v>5120</v>
      </c>
      <c r="J266">
        <f>CEILING((Query1[[#This Row],[Cost Price ( MYR )]] / (1 - _xlfn.XLOOKUP(Query1[[#This Row],[Business Unit]], Margins!A:A, Margins!C:C))) * (1 - _xlfn.XLOOKUP(Query1[[#This Row],[Business Unit]], Margins!A:A, Margins!D:D)),5)</f>
        <v>9110</v>
      </c>
    </row>
    <row r="267" spans="1:10" x14ac:dyDescent="0.35">
      <c r="A267" t="s">
        <v>780</v>
      </c>
      <c r="B267" t="s">
        <v>781</v>
      </c>
      <c r="C267" t="s">
        <v>604</v>
      </c>
      <c r="D267" t="s">
        <v>616</v>
      </c>
      <c r="E267" t="s">
        <v>665</v>
      </c>
      <c r="F267" t="s">
        <v>782</v>
      </c>
      <c r="G267" t="s">
        <v>776</v>
      </c>
      <c r="H267">
        <v>5280</v>
      </c>
      <c r="J267">
        <f>CEILING((Query1[[#This Row],[Cost Price ( MYR )]] / (1 - _xlfn.XLOOKUP(Query1[[#This Row],[Business Unit]], Margins!A:A, Margins!C:C))) * (1 - _xlfn.XLOOKUP(Query1[[#This Row],[Business Unit]], Margins!A:A, Margins!D:D)),5)</f>
        <v>9395</v>
      </c>
    </row>
    <row r="268" spans="1:10" x14ac:dyDescent="0.35">
      <c r="A268" t="s">
        <v>783</v>
      </c>
      <c r="B268" t="s">
        <v>784</v>
      </c>
      <c r="C268" t="s">
        <v>604</v>
      </c>
      <c r="D268" t="s">
        <v>616</v>
      </c>
      <c r="E268" t="s">
        <v>665</v>
      </c>
      <c r="F268" t="s">
        <v>785</v>
      </c>
      <c r="G268" t="s">
        <v>776</v>
      </c>
      <c r="H268">
        <v>5720</v>
      </c>
      <c r="J268">
        <f>CEILING((Query1[[#This Row],[Cost Price ( MYR )]] / (1 - _xlfn.XLOOKUP(Query1[[#This Row],[Business Unit]], Margins!A:A, Margins!C:C))) * (1 - _xlfn.XLOOKUP(Query1[[#This Row],[Business Unit]], Margins!A:A, Margins!D:D)),5)</f>
        <v>10175</v>
      </c>
    </row>
    <row r="269" spans="1:10" x14ac:dyDescent="0.35">
      <c r="B269" t="s">
        <v>786</v>
      </c>
      <c r="C269" t="s">
        <v>604</v>
      </c>
      <c r="D269" t="s">
        <v>616</v>
      </c>
      <c r="E269" t="s">
        <v>665</v>
      </c>
      <c r="F269" t="s">
        <v>787</v>
      </c>
      <c r="G269" t="s">
        <v>776</v>
      </c>
      <c r="J26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70" spans="1:10" x14ac:dyDescent="0.35">
      <c r="B270" t="s">
        <v>788</v>
      </c>
      <c r="C270" t="s">
        <v>604</v>
      </c>
      <c r="D270" t="s">
        <v>616</v>
      </c>
      <c r="E270" t="s">
        <v>665</v>
      </c>
      <c r="F270" t="s">
        <v>789</v>
      </c>
      <c r="G270" t="s">
        <v>776</v>
      </c>
      <c r="J27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71" spans="1:10" x14ac:dyDescent="0.35">
      <c r="B271" t="s">
        <v>790</v>
      </c>
      <c r="C271" t="s">
        <v>604</v>
      </c>
      <c r="D271" t="s">
        <v>616</v>
      </c>
      <c r="E271" t="s">
        <v>665</v>
      </c>
      <c r="F271" t="s">
        <v>791</v>
      </c>
      <c r="G271" t="s">
        <v>776</v>
      </c>
      <c r="J27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72" spans="1:10" x14ac:dyDescent="0.35">
      <c r="A272" t="s">
        <v>792</v>
      </c>
      <c r="B272" t="s">
        <v>793</v>
      </c>
      <c r="C272" t="s">
        <v>604</v>
      </c>
      <c r="D272" t="s">
        <v>616</v>
      </c>
      <c r="E272" t="s">
        <v>665</v>
      </c>
      <c r="F272" t="s">
        <v>794</v>
      </c>
      <c r="G272" t="s">
        <v>776</v>
      </c>
      <c r="H272">
        <v>3910</v>
      </c>
      <c r="J272">
        <f>CEILING((Query1[[#This Row],[Cost Price ( MYR )]] / (1 - _xlfn.XLOOKUP(Query1[[#This Row],[Business Unit]], Margins!A:A, Margins!C:C))) * (1 - _xlfn.XLOOKUP(Query1[[#This Row],[Business Unit]], Margins!A:A, Margins!D:D)),5)</f>
        <v>6955</v>
      </c>
    </row>
    <row r="273" spans="1:10" x14ac:dyDescent="0.35">
      <c r="A273" t="s">
        <v>795</v>
      </c>
      <c r="B273" t="s">
        <v>796</v>
      </c>
      <c r="C273" t="s">
        <v>604</v>
      </c>
      <c r="D273" t="s">
        <v>616</v>
      </c>
      <c r="E273" t="s">
        <v>665</v>
      </c>
      <c r="F273" t="s">
        <v>797</v>
      </c>
      <c r="G273" t="s">
        <v>776</v>
      </c>
      <c r="H273">
        <v>2590</v>
      </c>
      <c r="J273">
        <f>CEILING((Query1[[#This Row],[Cost Price ( MYR )]] / (1 - _xlfn.XLOOKUP(Query1[[#This Row],[Business Unit]], Margins!A:A, Margins!C:C))) * (1 - _xlfn.XLOOKUP(Query1[[#This Row],[Business Unit]], Margins!A:A, Margins!D:D)),5)</f>
        <v>4610</v>
      </c>
    </row>
    <row r="274" spans="1:10" x14ac:dyDescent="0.35">
      <c r="A274" t="s">
        <v>798</v>
      </c>
      <c r="B274" t="s">
        <v>799</v>
      </c>
      <c r="C274" t="s">
        <v>604</v>
      </c>
      <c r="D274" t="s">
        <v>616</v>
      </c>
      <c r="E274" t="s">
        <v>665</v>
      </c>
      <c r="F274" t="s">
        <v>800</v>
      </c>
      <c r="G274" t="s">
        <v>776</v>
      </c>
      <c r="H274">
        <v>4070</v>
      </c>
      <c r="J274">
        <f>CEILING((Query1[[#This Row],[Cost Price ( MYR )]] / (1 - _xlfn.XLOOKUP(Query1[[#This Row],[Business Unit]], Margins!A:A, Margins!C:C))) * (1 - _xlfn.XLOOKUP(Query1[[#This Row],[Business Unit]], Margins!A:A, Margins!D:D)),5)</f>
        <v>7240</v>
      </c>
    </row>
    <row r="275" spans="1:10" x14ac:dyDescent="0.35">
      <c r="A275" t="s">
        <v>801</v>
      </c>
      <c r="B275" t="s">
        <v>802</v>
      </c>
      <c r="C275" t="s">
        <v>604</v>
      </c>
      <c r="D275" t="s">
        <v>616</v>
      </c>
      <c r="E275" t="s">
        <v>665</v>
      </c>
      <c r="F275" t="s">
        <v>803</v>
      </c>
      <c r="G275" t="s">
        <v>776</v>
      </c>
      <c r="H275">
        <v>2700</v>
      </c>
      <c r="J275">
        <f>CEILING((Query1[[#This Row],[Cost Price ( MYR )]] / (1 - _xlfn.XLOOKUP(Query1[[#This Row],[Business Unit]], Margins!A:A, Margins!C:C))) * (1 - _xlfn.XLOOKUP(Query1[[#This Row],[Business Unit]], Margins!A:A, Margins!D:D)),5)</f>
        <v>4805</v>
      </c>
    </row>
    <row r="276" spans="1:10" x14ac:dyDescent="0.35">
      <c r="A276" t="s">
        <v>804</v>
      </c>
      <c r="B276" t="s">
        <v>805</v>
      </c>
      <c r="C276" t="s">
        <v>604</v>
      </c>
      <c r="D276" t="s">
        <v>616</v>
      </c>
      <c r="E276" t="s">
        <v>665</v>
      </c>
      <c r="F276" t="s">
        <v>806</v>
      </c>
      <c r="G276" t="s">
        <v>776</v>
      </c>
      <c r="H276">
        <v>13300</v>
      </c>
      <c r="J276">
        <f>CEILING((Query1[[#This Row],[Cost Price ( MYR )]] / (1 - _xlfn.XLOOKUP(Query1[[#This Row],[Business Unit]], Margins!A:A, Margins!C:C))) * (1 - _xlfn.XLOOKUP(Query1[[#This Row],[Business Unit]], Margins!A:A, Margins!D:D)),5)</f>
        <v>23660</v>
      </c>
    </row>
    <row r="277" spans="1:10" x14ac:dyDescent="0.35">
      <c r="A277" t="s">
        <v>807</v>
      </c>
      <c r="B277" t="s">
        <v>808</v>
      </c>
      <c r="C277" t="s">
        <v>604</v>
      </c>
      <c r="D277" t="s">
        <v>616</v>
      </c>
      <c r="E277" t="s">
        <v>665</v>
      </c>
      <c r="F277" t="s">
        <v>809</v>
      </c>
      <c r="G277" t="s">
        <v>776</v>
      </c>
      <c r="H277">
        <v>4290</v>
      </c>
      <c r="J277">
        <f>CEILING((Query1[[#This Row],[Cost Price ( MYR )]] / (1 - _xlfn.XLOOKUP(Query1[[#This Row],[Business Unit]], Margins!A:A, Margins!C:C))) * (1 - _xlfn.XLOOKUP(Query1[[#This Row],[Business Unit]], Margins!A:A, Margins!D:D)),5)</f>
        <v>7635</v>
      </c>
    </row>
    <row r="278" spans="1:10" x14ac:dyDescent="0.35">
      <c r="A278" t="s">
        <v>810</v>
      </c>
      <c r="B278" t="s">
        <v>811</v>
      </c>
      <c r="C278" t="s">
        <v>604</v>
      </c>
      <c r="D278" t="s">
        <v>616</v>
      </c>
      <c r="E278" t="s">
        <v>665</v>
      </c>
      <c r="F278" t="s">
        <v>812</v>
      </c>
      <c r="G278" t="s">
        <v>776</v>
      </c>
      <c r="H278">
        <v>18980</v>
      </c>
      <c r="J278">
        <f>CEILING((Query1[[#This Row],[Cost Price ( MYR )]] / (1 - _xlfn.XLOOKUP(Query1[[#This Row],[Business Unit]], Margins!A:A, Margins!C:C))) * (1 - _xlfn.XLOOKUP(Query1[[#This Row],[Business Unit]], Margins!A:A, Margins!D:D)),5)</f>
        <v>33760</v>
      </c>
    </row>
    <row r="279" spans="1:10" x14ac:dyDescent="0.35">
      <c r="A279" t="s">
        <v>813</v>
      </c>
      <c r="B279" t="s">
        <v>814</v>
      </c>
      <c r="C279" t="s">
        <v>604</v>
      </c>
      <c r="D279" t="s">
        <v>616</v>
      </c>
      <c r="E279" t="s">
        <v>665</v>
      </c>
      <c r="F279" t="s">
        <v>815</v>
      </c>
      <c r="G279" t="s">
        <v>776</v>
      </c>
      <c r="H279">
        <v>4680</v>
      </c>
      <c r="J279">
        <f>CEILING((Query1[[#This Row],[Cost Price ( MYR )]] / (1 - _xlfn.XLOOKUP(Query1[[#This Row],[Business Unit]], Margins!A:A, Margins!C:C))) * (1 - _xlfn.XLOOKUP(Query1[[#This Row],[Business Unit]], Margins!A:A, Margins!D:D)),5)</f>
        <v>8325</v>
      </c>
    </row>
    <row r="280" spans="1:10" x14ac:dyDescent="0.35">
      <c r="A280" t="s">
        <v>816</v>
      </c>
      <c r="B280" t="s">
        <v>817</v>
      </c>
      <c r="C280" t="s">
        <v>604</v>
      </c>
      <c r="D280" t="s">
        <v>616</v>
      </c>
      <c r="E280" t="s">
        <v>665</v>
      </c>
      <c r="F280" t="s">
        <v>818</v>
      </c>
      <c r="G280" t="s">
        <v>776</v>
      </c>
      <c r="H280">
        <v>0</v>
      </c>
      <c r="J28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81" spans="1:10" x14ac:dyDescent="0.35">
      <c r="A281" t="s">
        <v>819</v>
      </c>
      <c r="B281" t="s">
        <v>820</v>
      </c>
      <c r="C281" t="s">
        <v>821</v>
      </c>
      <c r="D281" t="s">
        <v>822</v>
      </c>
      <c r="E281" t="s">
        <v>823</v>
      </c>
      <c r="F281" t="s">
        <v>824</v>
      </c>
      <c r="G281" t="s">
        <v>825</v>
      </c>
      <c r="H281">
        <v>2284</v>
      </c>
      <c r="J281">
        <f>CEILING((Query1[[#This Row],[Cost Price ( MYR )]] / (1 - _xlfn.XLOOKUP(Query1[[#This Row],[Business Unit]], Margins!A:A, Margins!C:C))) * (1 - _xlfn.XLOOKUP(Query1[[#This Row],[Business Unit]], Margins!A:A, Margins!D:D)),5)</f>
        <v>6095</v>
      </c>
    </row>
    <row r="282" spans="1:10" x14ac:dyDescent="0.35">
      <c r="A282" t="s">
        <v>826</v>
      </c>
      <c r="B282" t="s">
        <v>827</v>
      </c>
      <c r="C282" t="s">
        <v>821</v>
      </c>
      <c r="D282" t="s">
        <v>822</v>
      </c>
      <c r="E282" t="s">
        <v>823</v>
      </c>
      <c r="F282" t="s">
        <v>828</v>
      </c>
      <c r="G282" t="s">
        <v>825</v>
      </c>
      <c r="H282">
        <v>0</v>
      </c>
      <c r="J28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83" spans="1:10" x14ac:dyDescent="0.35">
      <c r="B283" t="s">
        <v>829</v>
      </c>
      <c r="C283" t="s">
        <v>821</v>
      </c>
      <c r="D283" t="s">
        <v>822</v>
      </c>
      <c r="E283" t="s">
        <v>823</v>
      </c>
      <c r="F283" t="s">
        <v>830</v>
      </c>
      <c r="G283" t="s">
        <v>831</v>
      </c>
      <c r="J28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84" spans="1:10" x14ac:dyDescent="0.35">
      <c r="A284" t="s">
        <v>832</v>
      </c>
      <c r="B284" t="s">
        <v>833</v>
      </c>
      <c r="C284" t="s">
        <v>821</v>
      </c>
      <c r="D284" t="s">
        <v>834</v>
      </c>
      <c r="E284" t="s">
        <v>835</v>
      </c>
      <c r="F284" t="s">
        <v>836</v>
      </c>
      <c r="H284">
        <v>210</v>
      </c>
      <c r="J284">
        <f>CEILING((Query1[[#This Row],[Cost Price ( MYR )]] / (1 - _xlfn.XLOOKUP(Query1[[#This Row],[Business Unit]], Margins!A:A, Margins!C:C))) * (1 - _xlfn.XLOOKUP(Query1[[#This Row],[Business Unit]], Margins!A:A, Margins!D:D)),5)</f>
        <v>565</v>
      </c>
    </row>
    <row r="285" spans="1:10" x14ac:dyDescent="0.35">
      <c r="A285" t="s">
        <v>837</v>
      </c>
      <c r="B285" t="s">
        <v>838</v>
      </c>
      <c r="C285" t="s">
        <v>821</v>
      </c>
      <c r="D285" t="s">
        <v>834</v>
      </c>
      <c r="E285" t="s">
        <v>835</v>
      </c>
      <c r="F285" t="s">
        <v>839</v>
      </c>
      <c r="H285">
        <v>365</v>
      </c>
      <c r="J285">
        <f>CEILING((Query1[[#This Row],[Cost Price ( MYR )]] / (1 - _xlfn.XLOOKUP(Query1[[#This Row],[Business Unit]], Margins!A:A, Margins!C:C))) * (1 - _xlfn.XLOOKUP(Query1[[#This Row],[Business Unit]], Margins!A:A, Margins!D:D)),5)</f>
        <v>975</v>
      </c>
    </row>
    <row r="286" spans="1:10" x14ac:dyDescent="0.35">
      <c r="A286" t="s">
        <v>840</v>
      </c>
      <c r="B286" t="s">
        <v>841</v>
      </c>
      <c r="C286" t="s">
        <v>821</v>
      </c>
      <c r="D286" t="s">
        <v>834</v>
      </c>
      <c r="E286" t="s">
        <v>835</v>
      </c>
      <c r="F286" t="s">
        <v>842</v>
      </c>
      <c r="H286">
        <v>365</v>
      </c>
      <c r="J286">
        <f>CEILING((Query1[[#This Row],[Cost Price ( MYR )]] / (1 - _xlfn.XLOOKUP(Query1[[#This Row],[Business Unit]], Margins!A:A, Margins!C:C))) * (1 - _xlfn.XLOOKUP(Query1[[#This Row],[Business Unit]], Margins!A:A, Margins!D:D)),5)</f>
        <v>975</v>
      </c>
    </row>
    <row r="287" spans="1:10" x14ac:dyDescent="0.35">
      <c r="A287" t="s">
        <v>843</v>
      </c>
      <c r="B287" t="s">
        <v>844</v>
      </c>
      <c r="C287" t="s">
        <v>821</v>
      </c>
      <c r="D287" t="s">
        <v>834</v>
      </c>
      <c r="E287" t="s">
        <v>835</v>
      </c>
      <c r="F287" t="s">
        <v>845</v>
      </c>
      <c r="H287">
        <v>365</v>
      </c>
      <c r="J287">
        <f>CEILING((Query1[[#This Row],[Cost Price ( MYR )]] / (1 - _xlfn.XLOOKUP(Query1[[#This Row],[Business Unit]], Margins!A:A, Margins!C:C))) * (1 - _xlfn.XLOOKUP(Query1[[#This Row],[Business Unit]], Margins!A:A, Margins!D:D)),5)</f>
        <v>975</v>
      </c>
    </row>
    <row r="288" spans="1:10" x14ac:dyDescent="0.35">
      <c r="A288" t="s">
        <v>846</v>
      </c>
      <c r="B288" t="s">
        <v>847</v>
      </c>
      <c r="C288" t="s">
        <v>821</v>
      </c>
      <c r="D288" t="s">
        <v>834</v>
      </c>
      <c r="E288" t="s">
        <v>835</v>
      </c>
      <c r="F288" t="s">
        <v>848</v>
      </c>
      <c r="H288">
        <v>365</v>
      </c>
      <c r="J288">
        <f>CEILING((Query1[[#This Row],[Cost Price ( MYR )]] / (1 - _xlfn.XLOOKUP(Query1[[#This Row],[Business Unit]], Margins!A:A, Margins!C:C))) * (1 - _xlfn.XLOOKUP(Query1[[#This Row],[Business Unit]], Margins!A:A, Margins!D:D)),5)</f>
        <v>975</v>
      </c>
    </row>
    <row r="289" spans="1:10" x14ac:dyDescent="0.35">
      <c r="A289" t="s">
        <v>849</v>
      </c>
      <c r="B289" t="s">
        <v>850</v>
      </c>
      <c r="C289" t="s">
        <v>821</v>
      </c>
      <c r="D289" t="s">
        <v>834</v>
      </c>
      <c r="E289" t="s">
        <v>835</v>
      </c>
      <c r="F289" t="s">
        <v>851</v>
      </c>
      <c r="H289">
        <v>365</v>
      </c>
      <c r="J289">
        <f>CEILING((Query1[[#This Row],[Cost Price ( MYR )]] / (1 - _xlfn.XLOOKUP(Query1[[#This Row],[Business Unit]], Margins!A:A, Margins!C:C))) * (1 - _xlfn.XLOOKUP(Query1[[#This Row],[Business Unit]], Margins!A:A, Margins!D:D)),5)</f>
        <v>975</v>
      </c>
    </row>
    <row r="290" spans="1:10" x14ac:dyDescent="0.35">
      <c r="A290" t="s">
        <v>852</v>
      </c>
      <c r="B290" t="s">
        <v>853</v>
      </c>
      <c r="C290" t="s">
        <v>821</v>
      </c>
      <c r="D290" t="s">
        <v>834</v>
      </c>
      <c r="E290" t="s">
        <v>835</v>
      </c>
      <c r="F290" t="s">
        <v>854</v>
      </c>
      <c r="H290">
        <v>0</v>
      </c>
      <c r="J29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291" spans="1:10" x14ac:dyDescent="0.35">
      <c r="A291" t="s">
        <v>855</v>
      </c>
      <c r="B291" t="s">
        <v>856</v>
      </c>
      <c r="C291" t="s">
        <v>821</v>
      </c>
      <c r="D291" t="s">
        <v>834</v>
      </c>
      <c r="E291" t="s">
        <v>835</v>
      </c>
      <c r="F291" t="s">
        <v>857</v>
      </c>
      <c r="H291">
        <v>0.01</v>
      </c>
      <c r="J291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2" spans="1:10" x14ac:dyDescent="0.35">
      <c r="A292" t="s">
        <v>858</v>
      </c>
      <c r="B292" t="s">
        <v>859</v>
      </c>
      <c r="C292" t="s">
        <v>821</v>
      </c>
      <c r="D292" t="s">
        <v>834</v>
      </c>
      <c r="E292" t="s">
        <v>835</v>
      </c>
      <c r="F292" t="s">
        <v>860</v>
      </c>
      <c r="H292">
        <v>0.01</v>
      </c>
      <c r="J292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3" spans="1:10" x14ac:dyDescent="0.35">
      <c r="A293" t="s">
        <v>861</v>
      </c>
      <c r="B293" t="s">
        <v>862</v>
      </c>
      <c r="C293" t="s">
        <v>821</v>
      </c>
      <c r="D293" t="s">
        <v>834</v>
      </c>
      <c r="E293" t="s">
        <v>835</v>
      </c>
      <c r="F293" t="s">
        <v>863</v>
      </c>
      <c r="H293">
        <v>0.01</v>
      </c>
      <c r="J293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4" spans="1:10" x14ac:dyDescent="0.35">
      <c r="A294" t="s">
        <v>864</v>
      </c>
      <c r="B294" t="s">
        <v>865</v>
      </c>
      <c r="C294" t="s">
        <v>821</v>
      </c>
      <c r="D294" t="s">
        <v>834</v>
      </c>
      <c r="E294" t="s">
        <v>835</v>
      </c>
      <c r="F294" t="s">
        <v>866</v>
      </c>
      <c r="H294">
        <v>0.01</v>
      </c>
      <c r="J294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5" spans="1:10" x14ac:dyDescent="0.35">
      <c r="A295" t="s">
        <v>867</v>
      </c>
      <c r="B295" t="s">
        <v>868</v>
      </c>
      <c r="C295" t="s">
        <v>821</v>
      </c>
      <c r="D295" t="s">
        <v>834</v>
      </c>
      <c r="E295" t="s">
        <v>835</v>
      </c>
      <c r="F295" t="s">
        <v>869</v>
      </c>
      <c r="H295">
        <v>0.01</v>
      </c>
      <c r="J295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6" spans="1:10" x14ac:dyDescent="0.35">
      <c r="A296" t="s">
        <v>870</v>
      </c>
      <c r="B296" t="s">
        <v>871</v>
      </c>
      <c r="C296" t="s">
        <v>821</v>
      </c>
      <c r="D296" t="s">
        <v>834</v>
      </c>
      <c r="E296" t="s">
        <v>835</v>
      </c>
      <c r="F296" t="s">
        <v>872</v>
      </c>
      <c r="H296">
        <v>0.01</v>
      </c>
      <c r="J296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7" spans="1:10" x14ac:dyDescent="0.35">
      <c r="A297" t="s">
        <v>873</v>
      </c>
      <c r="B297" t="s">
        <v>874</v>
      </c>
      <c r="C297" t="s">
        <v>821</v>
      </c>
      <c r="D297" t="s">
        <v>834</v>
      </c>
      <c r="E297" t="s">
        <v>835</v>
      </c>
      <c r="F297" t="s">
        <v>875</v>
      </c>
      <c r="H297">
        <v>0.01</v>
      </c>
      <c r="J297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8" spans="1:10" x14ac:dyDescent="0.35">
      <c r="A298" t="s">
        <v>876</v>
      </c>
      <c r="B298" t="s">
        <v>877</v>
      </c>
      <c r="C298" t="s">
        <v>821</v>
      </c>
      <c r="D298" t="s">
        <v>834</v>
      </c>
      <c r="E298" t="s">
        <v>835</v>
      </c>
      <c r="F298" t="s">
        <v>878</v>
      </c>
      <c r="H298">
        <v>0.01</v>
      </c>
      <c r="J298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299" spans="1:10" x14ac:dyDescent="0.35">
      <c r="A299" t="s">
        <v>879</v>
      </c>
      <c r="B299" t="s">
        <v>880</v>
      </c>
      <c r="C299" t="s">
        <v>821</v>
      </c>
      <c r="D299" t="s">
        <v>834</v>
      </c>
      <c r="E299" t="s">
        <v>835</v>
      </c>
      <c r="F299" t="s">
        <v>881</v>
      </c>
      <c r="H299">
        <v>0.01</v>
      </c>
      <c r="J299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00" spans="1:10" x14ac:dyDescent="0.35">
      <c r="A300" t="s">
        <v>882</v>
      </c>
      <c r="B300" t="s">
        <v>883</v>
      </c>
      <c r="C300" t="s">
        <v>821</v>
      </c>
      <c r="D300" t="s">
        <v>834</v>
      </c>
      <c r="E300" t="s">
        <v>835</v>
      </c>
      <c r="F300" t="s">
        <v>884</v>
      </c>
      <c r="H300">
        <v>0.01</v>
      </c>
      <c r="J300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01" spans="1:10" x14ac:dyDescent="0.35">
      <c r="A301" t="s">
        <v>885</v>
      </c>
      <c r="B301" t="s">
        <v>886</v>
      </c>
      <c r="C301" t="s">
        <v>821</v>
      </c>
      <c r="D301" t="s">
        <v>834</v>
      </c>
      <c r="E301" t="s">
        <v>835</v>
      </c>
      <c r="F301" t="s">
        <v>887</v>
      </c>
      <c r="H301">
        <v>0.01</v>
      </c>
      <c r="J301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02" spans="1:10" x14ac:dyDescent="0.35">
      <c r="A302" t="s">
        <v>888</v>
      </c>
      <c r="B302" t="s">
        <v>889</v>
      </c>
      <c r="C302" t="s">
        <v>821</v>
      </c>
      <c r="D302" t="s">
        <v>834</v>
      </c>
      <c r="E302" t="s">
        <v>835</v>
      </c>
      <c r="F302" t="s">
        <v>890</v>
      </c>
      <c r="H302">
        <v>0.01</v>
      </c>
      <c r="J302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03" spans="1:10" x14ac:dyDescent="0.35">
      <c r="B303" t="s">
        <v>891</v>
      </c>
      <c r="C303" t="s">
        <v>821</v>
      </c>
      <c r="D303" t="s">
        <v>834</v>
      </c>
      <c r="E303" t="s">
        <v>835</v>
      </c>
      <c r="F303" t="s">
        <v>892</v>
      </c>
      <c r="J30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04" spans="1:10" x14ac:dyDescent="0.35">
      <c r="A304" t="s">
        <v>893</v>
      </c>
      <c r="B304" t="s">
        <v>894</v>
      </c>
      <c r="C304" t="s">
        <v>821</v>
      </c>
      <c r="D304" t="s">
        <v>834</v>
      </c>
      <c r="E304" t="s">
        <v>835</v>
      </c>
      <c r="F304" t="s">
        <v>895</v>
      </c>
      <c r="H304">
        <v>513</v>
      </c>
      <c r="J304">
        <f>CEILING((Query1[[#This Row],[Cost Price ( MYR )]] / (1 - _xlfn.XLOOKUP(Query1[[#This Row],[Business Unit]], Margins!A:A, Margins!C:C))) * (1 - _xlfn.XLOOKUP(Query1[[#This Row],[Business Unit]], Margins!A:A, Margins!D:D)),5)</f>
        <v>1370</v>
      </c>
    </row>
    <row r="305" spans="1:10" x14ac:dyDescent="0.35">
      <c r="A305" t="s">
        <v>896</v>
      </c>
      <c r="B305" t="s">
        <v>897</v>
      </c>
      <c r="C305" t="s">
        <v>821</v>
      </c>
      <c r="D305" t="s">
        <v>834</v>
      </c>
      <c r="E305" t="s">
        <v>835</v>
      </c>
      <c r="F305" t="s">
        <v>898</v>
      </c>
      <c r="H305">
        <v>0</v>
      </c>
      <c r="J30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06" spans="1:10" x14ac:dyDescent="0.35">
      <c r="A306" t="s">
        <v>899</v>
      </c>
      <c r="B306" t="s">
        <v>900</v>
      </c>
      <c r="C306" t="s">
        <v>821</v>
      </c>
      <c r="D306" t="s">
        <v>834</v>
      </c>
      <c r="E306" t="s">
        <v>835</v>
      </c>
      <c r="F306" t="s">
        <v>901</v>
      </c>
      <c r="H306">
        <v>0</v>
      </c>
      <c r="J30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07" spans="1:10" x14ac:dyDescent="0.35">
      <c r="A307" t="s">
        <v>902</v>
      </c>
      <c r="B307" t="s">
        <v>903</v>
      </c>
      <c r="C307" t="s">
        <v>821</v>
      </c>
      <c r="D307" t="s">
        <v>834</v>
      </c>
      <c r="E307" t="s">
        <v>835</v>
      </c>
      <c r="F307" t="s">
        <v>904</v>
      </c>
      <c r="H307">
        <v>0</v>
      </c>
      <c r="J30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08" spans="1:10" x14ac:dyDescent="0.35">
      <c r="A308" t="s">
        <v>905</v>
      </c>
      <c r="B308" t="s">
        <v>906</v>
      </c>
      <c r="C308" t="s">
        <v>821</v>
      </c>
      <c r="D308" t="s">
        <v>834</v>
      </c>
      <c r="E308" t="s">
        <v>835</v>
      </c>
      <c r="F308" t="s">
        <v>907</v>
      </c>
      <c r="H308">
        <v>0.45</v>
      </c>
      <c r="J308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09" spans="1:10" x14ac:dyDescent="0.35">
      <c r="A309" t="s">
        <v>908</v>
      </c>
      <c r="B309" t="s">
        <v>909</v>
      </c>
      <c r="C309" t="s">
        <v>821</v>
      </c>
      <c r="D309" t="s">
        <v>834</v>
      </c>
      <c r="E309" t="s">
        <v>835</v>
      </c>
      <c r="F309" t="s">
        <v>910</v>
      </c>
      <c r="H309">
        <v>0</v>
      </c>
      <c r="J30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0" spans="1:10" x14ac:dyDescent="0.35">
      <c r="A310" t="s">
        <v>911</v>
      </c>
      <c r="B310" t="s">
        <v>912</v>
      </c>
      <c r="C310" t="s">
        <v>821</v>
      </c>
      <c r="D310" t="s">
        <v>834</v>
      </c>
      <c r="E310" t="s">
        <v>835</v>
      </c>
      <c r="F310" t="s">
        <v>913</v>
      </c>
      <c r="H310">
        <v>70</v>
      </c>
      <c r="J310">
        <f>CEILING((Query1[[#This Row],[Cost Price ( MYR )]] / (1 - _xlfn.XLOOKUP(Query1[[#This Row],[Business Unit]], Margins!A:A, Margins!C:C))) * (1 - _xlfn.XLOOKUP(Query1[[#This Row],[Business Unit]], Margins!A:A, Margins!D:D)),5)</f>
        <v>190</v>
      </c>
    </row>
    <row r="311" spans="1:10" x14ac:dyDescent="0.35">
      <c r="B311" t="s">
        <v>914</v>
      </c>
      <c r="C311" t="s">
        <v>821</v>
      </c>
      <c r="D311" t="s">
        <v>834</v>
      </c>
      <c r="E311" t="s">
        <v>835</v>
      </c>
      <c r="F311" t="s">
        <v>915</v>
      </c>
      <c r="J31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2" spans="1:10" x14ac:dyDescent="0.35">
      <c r="A312" t="s">
        <v>916</v>
      </c>
      <c r="B312" t="s">
        <v>917</v>
      </c>
      <c r="C312" t="s">
        <v>821</v>
      </c>
      <c r="D312" t="s">
        <v>834</v>
      </c>
      <c r="E312" t="s">
        <v>835</v>
      </c>
      <c r="F312" t="s">
        <v>918</v>
      </c>
      <c r="H312">
        <v>0</v>
      </c>
      <c r="J31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3" spans="1:10" x14ac:dyDescent="0.35">
      <c r="A313" t="s">
        <v>919</v>
      </c>
      <c r="B313" t="s">
        <v>920</v>
      </c>
      <c r="C313" t="s">
        <v>821</v>
      </c>
      <c r="D313" t="s">
        <v>834</v>
      </c>
      <c r="E313" t="s">
        <v>835</v>
      </c>
      <c r="F313" t="s">
        <v>921</v>
      </c>
      <c r="H313">
        <v>0</v>
      </c>
      <c r="J31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4" spans="1:10" x14ac:dyDescent="0.35">
      <c r="A314" t="s">
        <v>922</v>
      </c>
      <c r="B314" t="s">
        <v>923</v>
      </c>
      <c r="C314" t="s">
        <v>821</v>
      </c>
      <c r="D314" t="s">
        <v>834</v>
      </c>
      <c r="E314" t="s">
        <v>835</v>
      </c>
      <c r="F314" t="s">
        <v>924</v>
      </c>
      <c r="H314">
        <v>0</v>
      </c>
      <c r="J31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5" spans="1:10" x14ac:dyDescent="0.35">
      <c r="A315" t="s">
        <v>925</v>
      </c>
      <c r="B315" t="s">
        <v>926</v>
      </c>
      <c r="C315" t="s">
        <v>821</v>
      </c>
      <c r="D315" t="s">
        <v>834</v>
      </c>
      <c r="E315" t="s">
        <v>835</v>
      </c>
      <c r="F315" t="s">
        <v>927</v>
      </c>
      <c r="H315">
        <v>0</v>
      </c>
      <c r="J31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6" spans="1:10" x14ac:dyDescent="0.35">
      <c r="A316" t="s">
        <v>928</v>
      </c>
      <c r="B316" t="s">
        <v>929</v>
      </c>
      <c r="C316" t="s">
        <v>821</v>
      </c>
      <c r="D316" t="s">
        <v>834</v>
      </c>
      <c r="E316" t="s">
        <v>835</v>
      </c>
      <c r="F316" t="s">
        <v>930</v>
      </c>
      <c r="H316">
        <v>0</v>
      </c>
      <c r="J31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7" spans="1:10" x14ac:dyDescent="0.35">
      <c r="A317" t="s">
        <v>931</v>
      </c>
      <c r="B317" t="s">
        <v>932</v>
      </c>
      <c r="C317" t="s">
        <v>821</v>
      </c>
      <c r="D317" t="s">
        <v>834</v>
      </c>
      <c r="E317" t="s">
        <v>835</v>
      </c>
      <c r="F317" t="s">
        <v>933</v>
      </c>
      <c r="H317">
        <v>0</v>
      </c>
      <c r="J31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8" spans="1:10" x14ac:dyDescent="0.35">
      <c r="A318" t="s">
        <v>934</v>
      </c>
      <c r="B318" t="s">
        <v>935</v>
      </c>
      <c r="C318" t="s">
        <v>821</v>
      </c>
      <c r="D318" t="s">
        <v>834</v>
      </c>
      <c r="E318" t="s">
        <v>835</v>
      </c>
      <c r="F318" t="s">
        <v>936</v>
      </c>
      <c r="H318">
        <v>0</v>
      </c>
      <c r="J31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19" spans="1:10" x14ac:dyDescent="0.35">
      <c r="A319" t="s">
        <v>937</v>
      </c>
      <c r="B319" t="s">
        <v>938</v>
      </c>
      <c r="C319" t="s">
        <v>821</v>
      </c>
      <c r="D319" t="s">
        <v>834</v>
      </c>
      <c r="E319" t="s">
        <v>835</v>
      </c>
      <c r="F319" t="s">
        <v>939</v>
      </c>
      <c r="H319">
        <v>8.5</v>
      </c>
      <c r="J319">
        <f>CEILING((Query1[[#This Row],[Cost Price ( MYR )]] / (1 - _xlfn.XLOOKUP(Query1[[#This Row],[Business Unit]], Margins!A:A, Margins!C:C))) * (1 - _xlfn.XLOOKUP(Query1[[#This Row],[Business Unit]], Margins!A:A, Margins!D:D)),5)</f>
        <v>25</v>
      </c>
    </row>
    <row r="320" spans="1:10" x14ac:dyDescent="0.35">
      <c r="A320" t="s">
        <v>940</v>
      </c>
      <c r="B320" t="s">
        <v>941</v>
      </c>
      <c r="C320" t="s">
        <v>821</v>
      </c>
      <c r="D320" t="s">
        <v>834</v>
      </c>
      <c r="E320" t="s">
        <v>835</v>
      </c>
      <c r="F320" t="s">
        <v>942</v>
      </c>
      <c r="H320">
        <v>0</v>
      </c>
      <c r="J32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1" spans="1:10" x14ac:dyDescent="0.35">
      <c r="A321" t="s">
        <v>943</v>
      </c>
      <c r="B321" t="s">
        <v>944</v>
      </c>
      <c r="C321" t="s">
        <v>821</v>
      </c>
      <c r="D321" t="s">
        <v>834</v>
      </c>
      <c r="E321" t="s">
        <v>835</v>
      </c>
      <c r="F321" t="s">
        <v>945</v>
      </c>
      <c r="H321">
        <v>0</v>
      </c>
      <c r="J32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2" spans="1:10" x14ac:dyDescent="0.35">
      <c r="A322" t="s">
        <v>946</v>
      </c>
      <c r="B322" t="s">
        <v>947</v>
      </c>
      <c r="C322" t="s">
        <v>821</v>
      </c>
      <c r="D322" t="s">
        <v>834</v>
      </c>
      <c r="E322" t="s">
        <v>835</v>
      </c>
      <c r="F322" t="s">
        <v>948</v>
      </c>
      <c r="H322">
        <v>0</v>
      </c>
      <c r="J32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3" spans="1:10" x14ac:dyDescent="0.35">
      <c r="A323" t="s">
        <v>949</v>
      </c>
      <c r="B323" t="s">
        <v>950</v>
      </c>
      <c r="C323" t="s">
        <v>821</v>
      </c>
      <c r="D323" t="s">
        <v>834</v>
      </c>
      <c r="E323" t="s">
        <v>835</v>
      </c>
      <c r="F323" t="s">
        <v>951</v>
      </c>
      <c r="H323">
        <v>0</v>
      </c>
      <c r="J32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4" spans="1:10" x14ac:dyDescent="0.35">
      <c r="A324" t="s">
        <v>952</v>
      </c>
      <c r="B324" t="s">
        <v>953</v>
      </c>
      <c r="C324" t="s">
        <v>821</v>
      </c>
      <c r="D324" t="s">
        <v>834</v>
      </c>
      <c r="E324" t="s">
        <v>835</v>
      </c>
      <c r="F324" t="s">
        <v>954</v>
      </c>
      <c r="G324" t="s">
        <v>607</v>
      </c>
      <c r="H324">
        <v>27.5</v>
      </c>
      <c r="J324">
        <f>CEILING((Query1[[#This Row],[Cost Price ( MYR )]] / (1 - _xlfn.XLOOKUP(Query1[[#This Row],[Business Unit]], Margins!A:A, Margins!C:C))) * (1 - _xlfn.XLOOKUP(Query1[[#This Row],[Business Unit]], Margins!A:A, Margins!D:D)),5)</f>
        <v>75</v>
      </c>
    </row>
    <row r="325" spans="1:10" x14ac:dyDescent="0.35">
      <c r="A325" t="s">
        <v>955</v>
      </c>
      <c r="B325" t="s">
        <v>956</v>
      </c>
      <c r="C325" t="s">
        <v>821</v>
      </c>
      <c r="D325" t="s">
        <v>834</v>
      </c>
      <c r="E325" t="s">
        <v>835</v>
      </c>
      <c r="F325" t="s">
        <v>957</v>
      </c>
      <c r="H325">
        <v>0</v>
      </c>
      <c r="J32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6" spans="1:10" x14ac:dyDescent="0.35">
      <c r="A326" t="s">
        <v>958</v>
      </c>
      <c r="B326" t="s">
        <v>959</v>
      </c>
      <c r="C326" t="s">
        <v>821</v>
      </c>
      <c r="D326" t="s">
        <v>834</v>
      </c>
      <c r="E326" t="s">
        <v>835</v>
      </c>
      <c r="F326" t="s">
        <v>960</v>
      </c>
      <c r="H326">
        <v>0</v>
      </c>
      <c r="J32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7" spans="1:10" x14ac:dyDescent="0.35">
      <c r="A327" t="s">
        <v>961</v>
      </c>
      <c r="B327" t="s">
        <v>962</v>
      </c>
      <c r="C327" t="s">
        <v>821</v>
      </c>
      <c r="D327" t="s">
        <v>834</v>
      </c>
      <c r="E327" t="s">
        <v>835</v>
      </c>
      <c r="F327" t="s">
        <v>963</v>
      </c>
      <c r="H327">
        <v>0</v>
      </c>
      <c r="J32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8" spans="1:10" x14ac:dyDescent="0.35">
      <c r="A328" t="s">
        <v>964</v>
      </c>
      <c r="B328" t="s">
        <v>965</v>
      </c>
      <c r="C328" t="s">
        <v>821</v>
      </c>
      <c r="D328" t="s">
        <v>834</v>
      </c>
      <c r="E328" t="s">
        <v>835</v>
      </c>
      <c r="F328" t="s">
        <v>966</v>
      </c>
      <c r="H328">
        <v>0</v>
      </c>
      <c r="J32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29" spans="1:10" x14ac:dyDescent="0.35">
      <c r="A329" t="s">
        <v>967</v>
      </c>
      <c r="B329" t="s">
        <v>968</v>
      </c>
      <c r="C329" t="s">
        <v>821</v>
      </c>
      <c r="D329" t="s">
        <v>834</v>
      </c>
      <c r="E329" t="s">
        <v>835</v>
      </c>
      <c r="F329" t="s">
        <v>969</v>
      </c>
      <c r="H329">
        <v>0.9</v>
      </c>
      <c r="J329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30" spans="1:10" x14ac:dyDescent="0.35">
      <c r="B330" t="s">
        <v>970</v>
      </c>
      <c r="C330" t="s">
        <v>821</v>
      </c>
      <c r="D330" t="s">
        <v>834</v>
      </c>
      <c r="E330" t="s">
        <v>835</v>
      </c>
      <c r="F330" t="s">
        <v>971</v>
      </c>
      <c r="J33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1" spans="1:10" x14ac:dyDescent="0.35">
      <c r="A331" t="s">
        <v>972</v>
      </c>
      <c r="B331" t="s">
        <v>973</v>
      </c>
      <c r="C331" t="s">
        <v>821</v>
      </c>
      <c r="D331" t="s">
        <v>834</v>
      </c>
      <c r="E331" t="s">
        <v>835</v>
      </c>
      <c r="F331" t="s">
        <v>974</v>
      </c>
      <c r="H331">
        <v>0.12</v>
      </c>
      <c r="J331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32" spans="1:10" x14ac:dyDescent="0.35">
      <c r="A332" t="s">
        <v>975</v>
      </c>
      <c r="B332" t="s">
        <v>976</v>
      </c>
      <c r="C332" t="s">
        <v>821</v>
      </c>
      <c r="D332" t="s">
        <v>834</v>
      </c>
      <c r="E332" t="s">
        <v>835</v>
      </c>
      <c r="F332" t="s">
        <v>977</v>
      </c>
      <c r="H332">
        <v>0</v>
      </c>
      <c r="J33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3" spans="1:10" x14ac:dyDescent="0.35">
      <c r="A333" t="s">
        <v>978</v>
      </c>
      <c r="B333" t="s">
        <v>979</v>
      </c>
      <c r="C333" t="s">
        <v>821</v>
      </c>
      <c r="D333" t="s">
        <v>834</v>
      </c>
      <c r="E333" t="s">
        <v>835</v>
      </c>
      <c r="F333" t="s">
        <v>980</v>
      </c>
      <c r="H333">
        <v>0</v>
      </c>
      <c r="J33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4" spans="1:10" x14ac:dyDescent="0.35">
      <c r="B334" t="s">
        <v>981</v>
      </c>
      <c r="C334" t="s">
        <v>821</v>
      </c>
      <c r="D334" t="s">
        <v>834</v>
      </c>
      <c r="E334" t="s">
        <v>835</v>
      </c>
      <c r="F334" t="s">
        <v>982</v>
      </c>
      <c r="J33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5" spans="1:10" x14ac:dyDescent="0.35">
      <c r="B335" t="s">
        <v>983</v>
      </c>
      <c r="C335" t="s">
        <v>821</v>
      </c>
      <c r="D335" t="s">
        <v>834</v>
      </c>
      <c r="E335" t="s">
        <v>835</v>
      </c>
      <c r="F335" t="s">
        <v>984</v>
      </c>
      <c r="J33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6" spans="1:10" x14ac:dyDescent="0.35">
      <c r="B336" t="s">
        <v>985</v>
      </c>
      <c r="C336" t="s">
        <v>821</v>
      </c>
      <c r="D336" t="s">
        <v>834</v>
      </c>
      <c r="E336" t="s">
        <v>835</v>
      </c>
      <c r="F336" t="s">
        <v>986</v>
      </c>
      <c r="J33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7" spans="1:11" x14ac:dyDescent="0.35">
      <c r="B337" t="s">
        <v>987</v>
      </c>
      <c r="C337" t="s">
        <v>821</v>
      </c>
      <c r="D337" t="s">
        <v>834</v>
      </c>
      <c r="E337" t="s">
        <v>835</v>
      </c>
      <c r="F337" t="s">
        <v>988</v>
      </c>
      <c r="J33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38" spans="1:11" x14ac:dyDescent="0.35">
      <c r="A338" t="s">
        <v>989</v>
      </c>
      <c r="B338" t="s">
        <v>990</v>
      </c>
      <c r="C338" t="s">
        <v>821</v>
      </c>
      <c r="D338" t="s">
        <v>834</v>
      </c>
      <c r="E338" t="s">
        <v>991</v>
      </c>
      <c r="F338" t="s">
        <v>992</v>
      </c>
      <c r="H338">
        <v>18.5</v>
      </c>
      <c r="J338">
        <f>CEILING((Query1[[#This Row],[Cost Price ( MYR )]] / (1 - _xlfn.XLOOKUP(Query1[[#This Row],[Business Unit]], Margins!A:A, Margins!C:C))) * (1 - _xlfn.XLOOKUP(Query1[[#This Row],[Business Unit]], Margins!A:A, Margins!D:D)),5)</f>
        <v>50</v>
      </c>
    </row>
    <row r="339" spans="1:11" x14ac:dyDescent="0.35">
      <c r="A339" t="s">
        <v>993</v>
      </c>
      <c r="B339" t="s">
        <v>994</v>
      </c>
      <c r="C339" t="s">
        <v>821</v>
      </c>
      <c r="D339" t="s">
        <v>834</v>
      </c>
      <c r="E339" t="s">
        <v>991</v>
      </c>
      <c r="F339" t="s">
        <v>995</v>
      </c>
      <c r="H339">
        <v>24</v>
      </c>
      <c r="J339">
        <f>CEILING((Query1[[#This Row],[Cost Price ( MYR )]] / (1 - _xlfn.XLOOKUP(Query1[[#This Row],[Business Unit]], Margins!A:A, Margins!C:C))) * (1 - _xlfn.XLOOKUP(Query1[[#This Row],[Business Unit]], Margins!A:A, Margins!D:D)),5)</f>
        <v>65</v>
      </c>
      <c r="K339" t="s">
        <v>996</v>
      </c>
    </row>
    <row r="340" spans="1:11" x14ac:dyDescent="0.35">
      <c r="A340" t="s">
        <v>997</v>
      </c>
      <c r="B340" t="s">
        <v>998</v>
      </c>
      <c r="C340" t="s">
        <v>821</v>
      </c>
      <c r="D340" t="s">
        <v>834</v>
      </c>
      <c r="E340" t="s">
        <v>991</v>
      </c>
      <c r="F340" t="s">
        <v>999</v>
      </c>
      <c r="H340">
        <v>0</v>
      </c>
      <c r="J340">
        <f>CEILING((Query1[[#This Row],[Cost Price ( MYR )]] / (1 - _xlfn.XLOOKUP(Query1[[#This Row],[Business Unit]], Margins!A:A, Margins!C:C))) * (1 - _xlfn.XLOOKUP(Query1[[#This Row],[Business Unit]], Margins!A:A, Margins!D:D)),5)</f>
        <v>0</v>
      </c>
      <c r="K340" t="s">
        <v>996</v>
      </c>
    </row>
    <row r="341" spans="1:11" x14ac:dyDescent="0.35">
      <c r="A341" t="s">
        <v>1000</v>
      </c>
      <c r="B341" t="s">
        <v>1001</v>
      </c>
      <c r="C341" t="s">
        <v>821</v>
      </c>
      <c r="D341" t="s">
        <v>834</v>
      </c>
      <c r="E341" t="s">
        <v>991</v>
      </c>
      <c r="F341" t="s">
        <v>1002</v>
      </c>
      <c r="H341">
        <v>0</v>
      </c>
      <c r="J34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42" spans="1:11" x14ac:dyDescent="0.35">
      <c r="A342" t="s">
        <v>1003</v>
      </c>
      <c r="B342" t="s">
        <v>1004</v>
      </c>
      <c r="C342" t="s">
        <v>821</v>
      </c>
      <c r="D342" t="s">
        <v>834</v>
      </c>
      <c r="E342" t="s">
        <v>991</v>
      </c>
      <c r="F342" t="s">
        <v>1005</v>
      </c>
      <c r="H342">
        <v>0</v>
      </c>
      <c r="J34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43" spans="1:11" x14ac:dyDescent="0.35">
      <c r="A343" t="s">
        <v>1006</v>
      </c>
      <c r="B343" t="s">
        <v>1007</v>
      </c>
      <c r="C343" t="s">
        <v>821</v>
      </c>
      <c r="D343" t="s">
        <v>834</v>
      </c>
      <c r="E343" t="s">
        <v>991</v>
      </c>
      <c r="F343" t="s">
        <v>1008</v>
      </c>
      <c r="G343" t="s">
        <v>763</v>
      </c>
      <c r="H343">
        <v>400</v>
      </c>
      <c r="J343">
        <f>CEILING((Query1[[#This Row],[Cost Price ( MYR )]] / (1 - _xlfn.XLOOKUP(Query1[[#This Row],[Business Unit]], Margins!A:A, Margins!C:C))) * (1 - _xlfn.XLOOKUP(Query1[[#This Row],[Business Unit]], Margins!A:A, Margins!D:D)),5)</f>
        <v>1070</v>
      </c>
    </row>
    <row r="344" spans="1:11" x14ac:dyDescent="0.35">
      <c r="A344" t="s">
        <v>1009</v>
      </c>
      <c r="B344" t="s">
        <v>1010</v>
      </c>
      <c r="C344" t="s">
        <v>821</v>
      </c>
      <c r="D344" t="s">
        <v>834</v>
      </c>
      <c r="E344" t="s">
        <v>991</v>
      </c>
      <c r="F344" t="s">
        <v>1011</v>
      </c>
      <c r="G344" t="s">
        <v>1012</v>
      </c>
      <c r="H344">
        <v>0</v>
      </c>
      <c r="J34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45" spans="1:11" x14ac:dyDescent="0.35">
      <c r="A345" t="s">
        <v>1013</v>
      </c>
      <c r="B345" t="s">
        <v>1014</v>
      </c>
      <c r="C345" t="s">
        <v>821</v>
      </c>
      <c r="D345" t="s">
        <v>1015</v>
      </c>
      <c r="E345" t="s">
        <v>1016</v>
      </c>
      <c r="F345" t="s">
        <v>1017</v>
      </c>
      <c r="G345" t="s">
        <v>1018</v>
      </c>
      <c r="H345">
        <v>0</v>
      </c>
      <c r="J34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46" spans="1:11" x14ac:dyDescent="0.35">
      <c r="A346" t="s">
        <v>1019</v>
      </c>
      <c r="B346" t="s">
        <v>1020</v>
      </c>
      <c r="C346" t="s">
        <v>821</v>
      </c>
      <c r="D346" t="s">
        <v>1015</v>
      </c>
      <c r="E346" t="s">
        <v>1016</v>
      </c>
      <c r="F346" t="s">
        <v>1021</v>
      </c>
      <c r="G346" t="s">
        <v>1018</v>
      </c>
      <c r="H346">
        <v>0</v>
      </c>
      <c r="J34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47" spans="1:11" x14ac:dyDescent="0.35">
      <c r="A347" t="s">
        <v>1022</v>
      </c>
      <c r="B347" t="s">
        <v>1023</v>
      </c>
      <c r="C347" t="s">
        <v>821</v>
      </c>
      <c r="D347" t="s">
        <v>1015</v>
      </c>
      <c r="E347" t="s">
        <v>1016</v>
      </c>
      <c r="F347" t="s">
        <v>1024</v>
      </c>
      <c r="G347" t="s">
        <v>1018</v>
      </c>
      <c r="H347">
        <v>48</v>
      </c>
      <c r="J347">
        <f>CEILING((Query1[[#This Row],[Cost Price ( MYR )]] / (1 - _xlfn.XLOOKUP(Query1[[#This Row],[Business Unit]], Margins!A:A, Margins!C:C))) * (1 - _xlfn.XLOOKUP(Query1[[#This Row],[Business Unit]], Margins!A:A, Margins!D:D)),5)</f>
        <v>130</v>
      </c>
    </row>
    <row r="348" spans="1:11" x14ac:dyDescent="0.35">
      <c r="A348" t="s">
        <v>1025</v>
      </c>
      <c r="B348" t="s">
        <v>1026</v>
      </c>
      <c r="C348" t="s">
        <v>821</v>
      </c>
      <c r="D348" t="s">
        <v>1015</v>
      </c>
      <c r="E348" t="s">
        <v>1016</v>
      </c>
      <c r="F348" t="s">
        <v>1027</v>
      </c>
      <c r="G348" t="s">
        <v>1018</v>
      </c>
      <c r="H348">
        <v>26.6</v>
      </c>
      <c r="J348">
        <f>CEILING((Query1[[#This Row],[Cost Price ( MYR )]] / (1 - _xlfn.XLOOKUP(Query1[[#This Row],[Business Unit]], Margins!A:A, Margins!C:C))) * (1 - _xlfn.XLOOKUP(Query1[[#This Row],[Business Unit]], Margins!A:A, Margins!D:D)),5)</f>
        <v>75</v>
      </c>
    </row>
    <row r="349" spans="1:11" x14ac:dyDescent="0.35">
      <c r="A349" t="s">
        <v>1028</v>
      </c>
      <c r="B349" t="s">
        <v>1029</v>
      </c>
      <c r="C349" t="s">
        <v>821</v>
      </c>
      <c r="D349" t="s">
        <v>1015</v>
      </c>
      <c r="E349" t="s">
        <v>1016</v>
      </c>
      <c r="F349" t="s">
        <v>1030</v>
      </c>
      <c r="G349" t="s">
        <v>1018</v>
      </c>
      <c r="H349">
        <v>42.6</v>
      </c>
      <c r="J349">
        <f>CEILING((Query1[[#This Row],[Cost Price ( MYR )]] / (1 - _xlfn.XLOOKUP(Query1[[#This Row],[Business Unit]], Margins!A:A, Margins!C:C))) * (1 - _xlfn.XLOOKUP(Query1[[#This Row],[Business Unit]], Margins!A:A, Margins!D:D)),5)</f>
        <v>115</v>
      </c>
    </row>
    <row r="350" spans="1:11" x14ac:dyDescent="0.35">
      <c r="A350" t="s">
        <v>1031</v>
      </c>
      <c r="B350" t="s">
        <v>1032</v>
      </c>
      <c r="C350" t="s">
        <v>821</v>
      </c>
      <c r="D350" t="s">
        <v>1015</v>
      </c>
      <c r="E350" t="s">
        <v>1016</v>
      </c>
      <c r="F350" t="s">
        <v>1033</v>
      </c>
      <c r="G350" t="s">
        <v>1018</v>
      </c>
      <c r="H350">
        <v>28.3</v>
      </c>
      <c r="J350">
        <f>CEILING((Query1[[#This Row],[Cost Price ( MYR )]] / (1 - _xlfn.XLOOKUP(Query1[[#This Row],[Business Unit]], Margins!A:A, Margins!C:C))) * (1 - _xlfn.XLOOKUP(Query1[[#This Row],[Business Unit]], Margins!A:A, Margins!D:D)),5)</f>
        <v>80</v>
      </c>
    </row>
    <row r="351" spans="1:11" x14ac:dyDescent="0.35">
      <c r="A351" t="s">
        <v>1034</v>
      </c>
      <c r="B351" t="s">
        <v>1035</v>
      </c>
      <c r="C351" t="s">
        <v>821</v>
      </c>
      <c r="D351" t="s">
        <v>1015</v>
      </c>
      <c r="E351" t="s">
        <v>1016</v>
      </c>
      <c r="F351" t="s">
        <v>1036</v>
      </c>
      <c r="G351" t="s">
        <v>1018</v>
      </c>
      <c r="H351">
        <v>0</v>
      </c>
      <c r="J35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2" spans="1:11" x14ac:dyDescent="0.35">
      <c r="A352" t="s">
        <v>1037</v>
      </c>
      <c r="B352" t="s">
        <v>1038</v>
      </c>
      <c r="C352" t="s">
        <v>821</v>
      </c>
      <c r="D352" t="s">
        <v>1015</v>
      </c>
      <c r="E352" t="s">
        <v>1016</v>
      </c>
      <c r="F352" t="s">
        <v>1039</v>
      </c>
      <c r="G352" t="s">
        <v>1018</v>
      </c>
      <c r="H352">
        <v>0</v>
      </c>
      <c r="J35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3" spans="1:10" x14ac:dyDescent="0.35">
      <c r="A353" t="s">
        <v>1040</v>
      </c>
      <c r="B353" t="s">
        <v>1041</v>
      </c>
      <c r="C353" t="s">
        <v>821</v>
      </c>
      <c r="D353" t="s">
        <v>1015</v>
      </c>
      <c r="E353" t="s">
        <v>1016</v>
      </c>
      <c r="F353" t="s">
        <v>1042</v>
      </c>
      <c r="G353" t="s">
        <v>1018</v>
      </c>
      <c r="H353">
        <v>0</v>
      </c>
      <c r="J35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4" spans="1:10" x14ac:dyDescent="0.35">
      <c r="A354" t="s">
        <v>1043</v>
      </c>
      <c r="B354" t="s">
        <v>1044</v>
      </c>
      <c r="C354" t="s">
        <v>821</v>
      </c>
      <c r="D354" t="s">
        <v>1015</v>
      </c>
      <c r="E354" t="s">
        <v>1016</v>
      </c>
      <c r="F354" t="s">
        <v>1045</v>
      </c>
      <c r="G354" t="s">
        <v>1018</v>
      </c>
      <c r="H354">
        <v>0</v>
      </c>
      <c r="J35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5" spans="1:10" x14ac:dyDescent="0.35">
      <c r="A355" t="s">
        <v>1046</v>
      </c>
      <c r="B355" t="s">
        <v>1047</v>
      </c>
      <c r="C355" t="s">
        <v>821</v>
      </c>
      <c r="D355" t="s">
        <v>1015</v>
      </c>
      <c r="E355" t="s">
        <v>1016</v>
      </c>
      <c r="F355" t="s">
        <v>1048</v>
      </c>
      <c r="G355" t="s">
        <v>1018</v>
      </c>
      <c r="H355">
        <v>0</v>
      </c>
      <c r="J35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6" spans="1:10" x14ac:dyDescent="0.35">
      <c r="A356" t="s">
        <v>1049</v>
      </c>
      <c r="B356" t="s">
        <v>1050</v>
      </c>
      <c r="C356" t="s">
        <v>821</v>
      </c>
      <c r="D356" t="s">
        <v>1015</v>
      </c>
      <c r="E356" t="s">
        <v>1016</v>
      </c>
      <c r="F356" t="s">
        <v>1051</v>
      </c>
      <c r="G356" t="s">
        <v>1018</v>
      </c>
      <c r="H356">
        <v>0</v>
      </c>
      <c r="J35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7" spans="1:10" x14ac:dyDescent="0.35">
      <c r="A357" t="s">
        <v>1049</v>
      </c>
      <c r="B357" t="s">
        <v>1052</v>
      </c>
      <c r="C357" t="s">
        <v>821</v>
      </c>
      <c r="D357" t="s">
        <v>1015</v>
      </c>
      <c r="E357" t="s">
        <v>1016</v>
      </c>
      <c r="F357" t="s">
        <v>1051</v>
      </c>
      <c r="G357" t="s">
        <v>1018</v>
      </c>
      <c r="H357">
        <v>0</v>
      </c>
      <c r="J35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8" spans="1:10" x14ac:dyDescent="0.35">
      <c r="A358" t="s">
        <v>1053</v>
      </c>
      <c r="B358" t="s">
        <v>1054</v>
      </c>
      <c r="C358" t="s">
        <v>821</v>
      </c>
      <c r="D358" t="s">
        <v>1015</v>
      </c>
      <c r="E358" t="s">
        <v>1016</v>
      </c>
      <c r="F358" t="s">
        <v>1055</v>
      </c>
      <c r="G358" t="s">
        <v>1018</v>
      </c>
      <c r="H358">
        <v>0</v>
      </c>
      <c r="J35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59" spans="1:10" x14ac:dyDescent="0.35">
      <c r="A359" t="s">
        <v>1056</v>
      </c>
      <c r="B359" t="s">
        <v>1057</v>
      </c>
      <c r="C359" t="s">
        <v>821</v>
      </c>
      <c r="D359" t="s">
        <v>1015</v>
      </c>
      <c r="E359" t="s">
        <v>1016</v>
      </c>
      <c r="F359" t="s">
        <v>1058</v>
      </c>
      <c r="G359" t="s">
        <v>1018</v>
      </c>
      <c r="H359">
        <v>0</v>
      </c>
      <c r="J35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60" spans="1:10" x14ac:dyDescent="0.35">
      <c r="A360" t="s">
        <v>1059</v>
      </c>
      <c r="B360" t="s">
        <v>1060</v>
      </c>
      <c r="C360" t="s">
        <v>821</v>
      </c>
      <c r="D360" t="s">
        <v>1015</v>
      </c>
      <c r="E360" t="s">
        <v>1016</v>
      </c>
      <c r="F360" t="s">
        <v>1061</v>
      </c>
      <c r="G360" t="s">
        <v>1018</v>
      </c>
      <c r="H360">
        <v>0</v>
      </c>
      <c r="J36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61" spans="1:10" x14ac:dyDescent="0.35">
      <c r="A361" t="s">
        <v>1062</v>
      </c>
      <c r="B361" t="s">
        <v>1063</v>
      </c>
      <c r="C361" t="s">
        <v>821</v>
      </c>
      <c r="D361" t="s">
        <v>1015</v>
      </c>
      <c r="E361" t="s">
        <v>1016</v>
      </c>
      <c r="F361" t="s">
        <v>1064</v>
      </c>
      <c r="G361" t="s">
        <v>1018</v>
      </c>
      <c r="H361">
        <v>0</v>
      </c>
      <c r="J36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62" spans="1:10" x14ac:dyDescent="0.35">
      <c r="A362" t="s">
        <v>1065</v>
      </c>
      <c r="B362" t="s">
        <v>1066</v>
      </c>
      <c r="C362" t="s">
        <v>821</v>
      </c>
      <c r="D362" t="s">
        <v>1015</v>
      </c>
      <c r="E362" t="s">
        <v>1016</v>
      </c>
      <c r="F362" t="s">
        <v>1067</v>
      </c>
      <c r="G362" t="s">
        <v>1068</v>
      </c>
      <c r="H362">
        <v>3.52</v>
      </c>
      <c r="J362">
        <f>CEILING((Query1[[#This Row],[Cost Price ( MYR )]] / (1 - _xlfn.XLOOKUP(Query1[[#This Row],[Business Unit]], Margins!A:A, Margins!C:C))) * (1 - _xlfn.XLOOKUP(Query1[[#This Row],[Business Unit]], Margins!A:A, Margins!D:D)),5)</f>
        <v>10</v>
      </c>
    </row>
    <row r="363" spans="1:10" x14ac:dyDescent="0.35">
      <c r="A363" t="s">
        <v>1069</v>
      </c>
      <c r="B363" t="s">
        <v>1070</v>
      </c>
      <c r="C363" t="s">
        <v>821</v>
      </c>
      <c r="D363" t="s">
        <v>1071</v>
      </c>
      <c r="E363" t="s">
        <v>1072</v>
      </c>
      <c r="F363" t="s">
        <v>1073</v>
      </c>
      <c r="G363" t="s">
        <v>1068</v>
      </c>
      <c r="H363">
        <v>0.22</v>
      </c>
      <c r="J363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64" spans="1:10" x14ac:dyDescent="0.35">
      <c r="A364" t="s">
        <v>1074</v>
      </c>
      <c r="B364" t="s">
        <v>1075</v>
      </c>
      <c r="C364" t="s">
        <v>821</v>
      </c>
      <c r="D364" t="s">
        <v>1071</v>
      </c>
      <c r="E364" t="s">
        <v>1072</v>
      </c>
      <c r="F364" t="s">
        <v>1076</v>
      </c>
      <c r="G364" t="s">
        <v>1068</v>
      </c>
      <c r="H364">
        <v>2.2000000000000002</v>
      </c>
      <c r="J364">
        <f>CEILING((Query1[[#This Row],[Cost Price ( MYR )]] / (1 - _xlfn.XLOOKUP(Query1[[#This Row],[Business Unit]], Margins!A:A, Margins!C:C))) * (1 - _xlfn.XLOOKUP(Query1[[#This Row],[Business Unit]], Margins!A:A, Margins!D:D)),5)</f>
        <v>10</v>
      </c>
    </row>
    <row r="365" spans="1:10" x14ac:dyDescent="0.35">
      <c r="A365" t="s">
        <v>1077</v>
      </c>
      <c r="B365" t="s">
        <v>1078</v>
      </c>
      <c r="C365" t="s">
        <v>821</v>
      </c>
      <c r="D365" t="s">
        <v>1071</v>
      </c>
      <c r="E365" t="s">
        <v>1072</v>
      </c>
      <c r="F365" t="s">
        <v>1079</v>
      </c>
      <c r="G365" t="s">
        <v>1068</v>
      </c>
      <c r="H365">
        <v>0.8</v>
      </c>
      <c r="J365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66" spans="1:10" x14ac:dyDescent="0.35">
      <c r="A366" t="s">
        <v>1080</v>
      </c>
      <c r="B366" t="s">
        <v>1081</v>
      </c>
      <c r="C366" t="s">
        <v>821</v>
      </c>
      <c r="D366" t="s">
        <v>1071</v>
      </c>
      <c r="E366" t="s">
        <v>1082</v>
      </c>
      <c r="F366" t="s">
        <v>1083</v>
      </c>
      <c r="G366" t="s">
        <v>1068</v>
      </c>
      <c r="H366">
        <v>1.6</v>
      </c>
      <c r="J366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67" spans="1:10" x14ac:dyDescent="0.35">
      <c r="A367" t="s">
        <v>1084</v>
      </c>
      <c r="B367" t="s">
        <v>1085</v>
      </c>
      <c r="C367" t="s">
        <v>821</v>
      </c>
      <c r="D367" t="s">
        <v>1071</v>
      </c>
      <c r="E367" t="s">
        <v>1082</v>
      </c>
      <c r="F367" t="s">
        <v>1086</v>
      </c>
      <c r="G367" t="s">
        <v>1068</v>
      </c>
      <c r="H367">
        <v>6</v>
      </c>
      <c r="J367">
        <f>CEILING((Query1[[#This Row],[Cost Price ( MYR )]] / (1 - _xlfn.XLOOKUP(Query1[[#This Row],[Business Unit]], Margins!A:A, Margins!C:C))) * (1 - _xlfn.XLOOKUP(Query1[[#This Row],[Business Unit]], Margins!A:A, Margins!D:D)),5)</f>
        <v>20</v>
      </c>
    </row>
    <row r="368" spans="1:10" x14ac:dyDescent="0.35">
      <c r="A368" t="s">
        <v>1087</v>
      </c>
      <c r="B368" t="s">
        <v>1088</v>
      </c>
      <c r="C368" t="s">
        <v>821</v>
      </c>
      <c r="D368" t="s">
        <v>1071</v>
      </c>
      <c r="E368" t="s">
        <v>1082</v>
      </c>
      <c r="F368" t="s">
        <v>1089</v>
      </c>
      <c r="G368" t="s">
        <v>1068</v>
      </c>
      <c r="H368">
        <v>6.5</v>
      </c>
      <c r="J368">
        <f>CEILING((Query1[[#This Row],[Cost Price ( MYR )]] / (1 - _xlfn.XLOOKUP(Query1[[#This Row],[Business Unit]], Margins!A:A, Margins!C:C))) * (1 - _xlfn.XLOOKUP(Query1[[#This Row],[Business Unit]], Margins!A:A, Margins!D:D)),5)</f>
        <v>20</v>
      </c>
    </row>
    <row r="369" spans="1:10" x14ac:dyDescent="0.35">
      <c r="A369" t="s">
        <v>1090</v>
      </c>
      <c r="B369" t="s">
        <v>1091</v>
      </c>
      <c r="C369" t="s">
        <v>821</v>
      </c>
      <c r="D369" t="s">
        <v>1071</v>
      </c>
      <c r="E369" t="s">
        <v>1082</v>
      </c>
      <c r="F369" t="s">
        <v>1092</v>
      </c>
      <c r="G369" t="s">
        <v>1068</v>
      </c>
      <c r="H369">
        <v>1.8</v>
      </c>
      <c r="J369">
        <f>CEILING((Query1[[#This Row],[Cost Price ( MYR )]] / (1 - _xlfn.XLOOKUP(Query1[[#This Row],[Business Unit]], Margins!A:A, Margins!C:C))) * (1 - _xlfn.XLOOKUP(Query1[[#This Row],[Business Unit]], Margins!A:A, Margins!D:D)),5)</f>
        <v>5</v>
      </c>
    </row>
    <row r="370" spans="1:10" x14ac:dyDescent="0.35">
      <c r="A370" t="s">
        <v>1093</v>
      </c>
      <c r="B370" t="s">
        <v>1094</v>
      </c>
      <c r="C370" t="s">
        <v>821</v>
      </c>
      <c r="D370" t="s">
        <v>1071</v>
      </c>
      <c r="E370" t="s">
        <v>1082</v>
      </c>
      <c r="F370" t="s">
        <v>1095</v>
      </c>
      <c r="G370" t="s">
        <v>1068</v>
      </c>
      <c r="H370">
        <v>0</v>
      </c>
      <c r="J37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71" spans="1:10" x14ac:dyDescent="0.35">
      <c r="A371" t="s">
        <v>1096</v>
      </c>
      <c r="B371" t="s">
        <v>1097</v>
      </c>
      <c r="C371" t="s">
        <v>821</v>
      </c>
      <c r="D371" t="s">
        <v>1071</v>
      </c>
      <c r="E371" t="s">
        <v>1082</v>
      </c>
      <c r="F371" t="s">
        <v>1098</v>
      </c>
      <c r="G371" t="s">
        <v>1068</v>
      </c>
      <c r="H371">
        <v>66.5</v>
      </c>
      <c r="J371">
        <f>CEILING((Query1[[#This Row],[Cost Price ( MYR )]] / (1 - _xlfn.XLOOKUP(Query1[[#This Row],[Business Unit]], Margins!A:A, Margins!C:C))) * (1 - _xlfn.XLOOKUP(Query1[[#This Row],[Business Unit]], Margins!A:A, Margins!D:D)),5)</f>
        <v>180</v>
      </c>
    </row>
    <row r="372" spans="1:10" x14ac:dyDescent="0.35">
      <c r="A372" t="s">
        <v>1099</v>
      </c>
      <c r="B372" t="s">
        <v>1100</v>
      </c>
      <c r="C372" t="s">
        <v>821</v>
      </c>
      <c r="D372" t="s">
        <v>1071</v>
      </c>
      <c r="E372" t="s">
        <v>1082</v>
      </c>
      <c r="F372" t="s">
        <v>1101</v>
      </c>
      <c r="G372" t="s">
        <v>1068</v>
      </c>
      <c r="H372">
        <v>0</v>
      </c>
      <c r="J37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73" spans="1:10" x14ac:dyDescent="0.35">
      <c r="A373" t="s">
        <v>1102</v>
      </c>
      <c r="B373" t="s">
        <v>1103</v>
      </c>
      <c r="C373" t="s">
        <v>821</v>
      </c>
      <c r="D373" t="s">
        <v>1071</v>
      </c>
      <c r="E373" t="s">
        <v>1082</v>
      </c>
      <c r="F373" t="s">
        <v>1104</v>
      </c>
      <c r="G373" t="s">
        <v>1068</v>
      </c>
      <c r="H373">
        <v>3.9</v>
      </c>
      <c r="J373">
        <f>CEILING((Query1[[#This Row],[Cost Price ( MYR )]] / (1 - _xlfn.XLOOKUP(Query1[[#This Row],[Business Unit]], Margins!A:A, Margins!C:C))) * (1 - _xlfn.XLOOKUP(Query1[[#This Row],[Business Unit]], Margins!A:A, Margins!D:D)),5)</f>
        <v>15</v>
      </c>
    </row>
    <row r="374" spans="1:10" x14ac:dyDescent="0.35">
      <c r="B374" t="s">
        <v>1105</v>
      </c>
      <c r="C374" t="s">
        <v>821</v>
      </c>
      <c r="D374" t="s">
        <v>1071</v>
      </c>
      <c r="E374" t="s">
        <v>1082</v>
      </c>
      <c r="F374" t="s">
        <v>1106</v>
      </c>
      <c r="G374" t="s">
        <v>1068</v>
      </c>
      <c r="J37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75" spans="1:10" x14ac:dyDescent="0.35">
      <c r="B375" t="s">
        <v>1107</v>
      </c>
      <c r="C375" t="s">
        <v>821</v>
      </c>
      <c r="D375" t="s">
        <v>1071</v>
      </c>
      <c r="E375" t="s">
        <v>1082</v>
      </c>
      <c r="F375" t="s">
        <v>1108</v>
      </c>
      <c r="G375" t="s">
        <v>1068</v>
      </c>
      <c r="J37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76" spans="1:10" x14ac:dyDescent="0.35">
      <c r="A376" t="s">
        <v>1109</v>
      </c>
      <c r="B376" t="s">
        <v>1110</v>
      </c>
      <c r="C376" t="s">
        <v>821</v>
      </c>
      <c r="D376" t="s">
        <v>616</v>
      </c>
      <c r="E376" t="s">
        <v>617</v>
      </c>
      <c r="F376" t="s">
        <v>1111</v>
      </c>
      <c r="G376" t="s">
        <v>619</v>
      </c>
      <c r="H376">
        <v>17.600000000000001</v>
      </c>
      <c r="J376">
        <f>CEILING((Query1[[#This Row],[Cost Price ( MYR )]] / (1 - _xlfn.XLOOKUP(Query1[[#This Row],[Business Unit]], Margins!A:A, Margins!C:C))) * (1 - _xlfn.XLOOKUP(Query1[[#This Row],[Business Unit]], Margins!A:A, Margins!D:D)),5)</f>
        <v>50</v>
      </c>
    </row>
    <row r="377" spans="1:10" x14ac:dyDescent="0.35">
      <c r="B377" t="s">
        <v>1112</v>
      </c>
      <c r="C377" t="s">
        <v>821</v>
      </c>
      <c r="D377" t="s">
        <v>616</v>
      </c>
      <c r="E377" t="s">
        <v>617</v>
      </c>
      <c r="G377" t="s">
        <v>619</v>
      </c>
      <c r="J37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78" spans="1:10" x14ac:dyDescent="0.35">
      <c r="A378" t="s">
        <v>1113</v>
      </c>
      <c r="B378" t="s">
        <v>1114</v>
      </c>
      <c r="C378" t="s">
        <v>821</v>
      </c>
      <c r="D378" t="s">
        <v>616</v>
      </c>
      <c r="E378" t="s">
        <v>617</v>
      </c>
      <c r="F378" t="s">
        <v>1115</v>
      </c>
      <c r="G378" t="s">
        <v>619</v>
      </c>
      <c r="H378">
        <v>17.600000000000001</v>
      </c>
      <c r="J378">
        <f>CEILING((Query1[[#This Row],[Cost Price ( MYR )]] / (1 - _xlfn.XLOOKUP(Query1[[#This Row],[Business Unit]], Margins!A:A, Margins!C:C))) * (1 - _xlfn.XLOOKUP(Query1[[#This Row],[Business Unit]], Margins!A:A, Margins!D:D)),5)</f>
        <v>50</v>
      </c>
    </row>
    <row r="379" spans="1:10" x14ac:dyDescent="0.35">
      <c r="A379" t="s">
        <v>1116</v>
      </c>
      <c r="B379" t="s">
        <v>1117</v>
      </c>
      <c r="C379" t="s">
        <v>821</v>
      </c>
      <c r="D379" t="s">
        <v>616</v>
      </c>
      <c r="E379" t="s">
        <v>617</v>
      </c>
      <c r="F379" t="s">
        <v>1118</v>
      </c>
      <c r="G379" t="s">
        <v>619</v>
      </c>
      <c r="H379">
        <v>17.600000000000001</v>
      </c>
      <c r="J379">
        <f>CEILING((Query1[[#This Row],[Cost Price ( MYR )]] / (1 - _xlfn.XLOOKUP(Query1[[#This Row],[Business Unit]], Margins!A:A, Margins!C:C))) * (1 - _xlfn.XLOOKUP(Query1[[#This Row],[Business Unit]], Margins!A:A, Margins!D:D)),5)</f>
        <v>50</v>
      </c>
    </row>
    <row r="380" spans="1:10" x14ac:dyDescent="0.35">
      <c r="A380" t="s">
        <v>1119</v>
      </c>
      <c r="B380" t="s">
        <v>1120</v>
      </c>
      <c r="C380" t="s">
        <v>1121</v>
      </c>
      <c r="D380" t="s">
        <v>834</v>
      </c>
      <c r="E380" t="s">
        <v>835</v>
      </c>
      <c r="F380" t="s">
        <v>1122</v>
      </c>
      <c r="G380" t="s">
        <v>1123</v>
      </c>
      <c r="H380">
        <v>92</v>
      </c>
      <c r="J380">
        <f>CEILING((Query1[[#This Row],[Cost Price ( MYR )]] / (1 - _xlfn.XLOOKUP(Query1[[#This Row],[Business Unit]], Margins!A:A, Margins!C:C))) * (1 - _xlfn.XLOOKUP(Query1[[#This Row],[Business Unit]], Margins!A:A, Margins!D:D)),5)</f>
        <v>165</v>
      </c>
    </row>
    <row r="381" spans="1:10" x14ac:dyDescent="0.35">
      <c r="A381" t="s">
        <v>1124</v>
      </c>
      <c r="B381" t="s">
        <v>1125</v>
      </c>
      <c r="C381" t="s">
        <v>1121</v>
      </c>
      <c r="D381" t="s">
        <v>834</v>
      </c>
      <c r="E381" t="s">
        <v>835</v>
      </c>
      <c r="F381" t="s">
        <v>1126</v>
      </c>
      <c r="G381" t="s">
        <v>1123</v>
      </c>
      <c r="H381">
        <v>0</v>
      </c>
      <c r="J38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82" spans="1:10" x14ac:dyDescent="0.35">
      <c r="A382" t="s">
        <v>1127</v>
      </c>
      <c r="B382" t="s">
        <v>1128</v>
      </c>
      <c r="C382" t="s">
        <v>1121</v>
      </c>
      <c r="D382" t="s">
        <v>834</v>
      </c>
      <c r="E382" t="s">
        <v>835</v>
      </c>
      <c r="F382" t="s">
        <v>1129</v>
      </c>
      <c r="G382" t="s">
        <v>1130</v>
      </c>
      <c r="H382">
        <v>29</v>
      </c>
      <c r="J382">
        <f>CEILING((Query1[[#This Row],[Cost Price ( MYR )]] / (1 - _xlfn.XLOOKUP(Query1[[#This Row],[Business Unit]], Margins!A:A, Margins!C:C))) * (1 - _xlfn.XLOOKUP(Query1[[#This Row],[Business Unit]], Margins!A:A, Margins!D:D)),5)</f>
        <v>55</v>
      </c>
    </row>
    <row r="383" spans="1:10" x14ac:dyDescent="0.35">
      <c r="A383" t="s">
        <v>1131</v>
      </c>
      <c r="B383" t="s">
        <v>1132</v>
      </c>
      <c r="C383" t="s">
        <v>1121</v>
      </c>
      <c r="D383" t="s">
        <v>834</v>
      </c>
      <c r="E383" t="s">
        <v>835</v>
      </c>
      <c r="F383" t="s">
        <v>1133</v>
      </c>
      <c r="G383" t="s">
        <v>1123</v>
      </c>
      <c r="H383">
        <v>29</v>
      </c>
      <c r="J383">
        <f>CEILING((Query1[[#This Row],[Cost Price ( MYR )]] / (1 - _xlfn.XLOOKUP(Query1[[#This Row],[Business Unit]], Margins!A:A, Margins!C:C))) * (1 - _xlfn.XLOOKUP(Query1[[#This Row],[Business Unit]], Margins!A:A, Margins!D:D)),5)</f>
        <v>55</v>
      </c>
    </row>
    <row r="384" spans="1:10" x14ac:dyDescent="0.35">
      <c r="B384" t="s">
        <v>1134</v>
      </c>
      <c r="C384" t="s">
        <v>1121</v>
      </c>
      <c r="D384" t="s">
        <v>605</v>
      </c>
      <c r="E384" t="s">
        <v>1135</v>
      </c>
      <c r="G384" t="s">
        <v>607</v>
      </c>
      <c r="J38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85" spans="1:10" x14ac:dyDescent="0.35">
      <c r="A385" t="s">
        <v>1136</v>
      </c>
      <c r="B385" t="s">
        <v>1137</v>
      </c>
      <c r="C385" t="s">
        <v>1121</v>
      </c>
      <c r="D385" t="s">
        <v>616</v>
      </c>
      <c r="E385" t="s">
        <v>665</v>
      </c>
      <c r="F385" t="s">
        <v>1138</v>
      </c>
      <c r="G385" t="s">
        <v>763</v>
      </c>
      <c r="H385">
        <v>0</v>
      </c>
      <c r="J38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86" spans="1:10" x14ac:dyDescent="0.35">
      <c r="A386" t="s">
        <v>1139</v>
      </c>
      <c r="B386" t="s">
        <v>1140</v>
      </c>
      <c r="C386" t="s">
        <v>1121</v>
      </c>
      <c r="D386" t="s">
        <v>616</v>
      </c>
      <c r="E386" t="s">
        <v>665</v>
      </c>
      <c r="F386" t="s">
        <v>1141</v>
      </c>
      <c r="G386" t="s">
        <v>763</v>
      </c>
      <c r="H386">
        <v>0</v>
      </c>
      <c r="J38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87" spans="1:10" x14ac:dyDescent="0.35">
      <c r="A387" t="s">
        <v>1142</v>
      </c>
      <c r="B387" t="s">
        <v>1143</v>
      </c>
      <c r="C387" t="s">
        <v>1121</v>
      </c>
      <c r="D387" t="s">
        <v>616</v>
      </c>
      <c r="E387" t="s">
        <v>665</v>
      </c>
      <c r="F387" t="s">
        <v>1144</v>
      </c>
      <c r="G387" t="s">
        <v>776</v>
      </c>
      <c r="H387">
        <v>0</v>
      </c>
      <c r="J38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88" spans="1:10" x14ac:dyDescent="0.35">
      <c r="B388" t="s">
        <v>1145</v>
      </c>
      <c r="C388" t="s">
        <v>1146</v>
      </c>
      <c r="D388" t="s">
        <v>1147</v>
      </c>
      <c r="F388" t="s">
        <v>1148</v>
      </c>
      <c r="J38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89" spans="1:10" x14ac:dyDescent="0.35">
      <c r="B389" t="s">
        <v>1149</v>
      </c>
      <c r="C389" t="s">
        <v>1146</v>
      </c>
      <c r="D389" t="s">
        <v>1147</v>
      </c>
      <c r="F389" t="s">
        <v>1150</v>
      </c>
      <c r="J38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0" spans="1:10" x14ac:dyDescent="0.35">
      <c r="B390" t="s">
        <v>1151</v>
      </c>
      <c r="C390" t="s">
        <v>1152</v>
      </c>
      <c r="D390" t="s">
        <v>1153</v>
      </c>
      <c r="F390" t="s">
        <v>1154</v>
      </c>
      <c r="J39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1" spans="1:10" x14ac:dyDescent="0.35">
      <c r="B391" t="s">
        <v>1155</v>
      </c>
      <c r="C391" t="s">
        <v>1152</v>
      </c>
      <c r="D391" t="s">
        <v>1153</v>
      </c>
      <c r="F391" t="s">
        <v>1156</v>
      </c>
      <c r="J39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2" spans="1:10" x14ac:dyDescent="0.35">
      <c r="B392" t="s">
        <v>1157</v>
      </c>
      <c r="C392" t="s">
        <v>1152</v>
      </c>
      <c r="D392" t="s">
        <v>1153</v>
      </c>
      <c r="F392" t="s">
        <v>1158</v>
      </c>
      <c r="J39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3" spans="1:10" x14ac:dyDescent="0.35">
      <c r="B393" t="s">
        <v>1159</v>
      </c>
      <c r="C393" t="s">
        <v>1152</v>
      </c>
      <c r="D393" t="s">
        <v>1153</v>
      </c>
      <c r="F393" t="s">
        <v>1160</v>
      </c>
      <c r="J39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4" spans="1:10" x14ac:dyDescent="0.35">
      <c r="B394" t="s">
        <v>1161</v>
      </c>
      <c r="C394" t="s">
        <v>1152</v>
      </c>
      <c r="D394" t="s">
        <v>1153</v>
      </c>
      <c r="F394" t="s">
        <v>1162</v>
      </c>
      <c r="J39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5" spans="1:10" x14ac:dyDescent="0.35">
      <c r="B395" t="s">
        <v>1163</v>
      </c>
      <c r="C395" t="s">
        <v>1152</v>
      </c>
      <c r="D395" t="s">
        <v>1153</v>
      </c>
      <c r="F395" t="s">
        <v>1164</v>
      </c>
      <c r="J39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6" spans="1:10" x14ac:dyDescent="0.35">
      <c r="B396" t="s">
        <v>1165</v>
      </c>
      <c r="C396" t="s">
        <v>1152</v>
      </c>
      <c r="D396" t="s">
        <v>1153</v>
      </c>
      <c r="F396" t="s">
        <v>1166</v>
      </c>
      <c r="J396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7" spans="1:10" x14ac:dyDescent="0.35">
      <c r="B397" t="s">
        <v>1167</v>
      </c>
      <c r="C397" t="s">
        <v>1152</v>
      </c>
      <c r="D397" t="s">
        <v>1153</v>
      </c>
      <c r="F397" t="s">
        <v>1168</v>
      </c>
      <c r="J397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8" spans="1:10" x14ac:dyDescent="0.35">
      <c r="B398" t="s">
        <v>1169</v>
      </c>
      <c r="C398" t="s">
        <v>1152</v>
      </c>
      <c r="D398" t="s">
        <v>1153</v>
      </c>
      <c r="F398" t="s">
        <v>1170</v>
      </c>
      <c r="J398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399" spans="1:10" x14ac:dyDescent="0.35">
      <c r="B399" t="s">
        <v>1171</v>
      </c>
      <c r="C399" t="s">
        <v>1152</v>
      </c>
      <c r="D399" t="s">
        <v>1153</v>
      </c>
      <c r="F399" t="s">
        <v>1172</v>
      </c>
      <c r="J399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00" spans="1:10" x14ac:dyDescent="0.35">
      <c r="B400" t="s">
        <v>1173</v>
      </c>
      <c r="C400" t="s">
        <v>1152</v>
      </c>
      <c r="D400" t="s">
        <v>1153</v>
      </c>
      <c r="F400" t="s">
        <v>1174</v>
      </c>
      <c r="J400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01" spans="2:10" x14ac:dyDescent="0.35">
      <c r="B401" t="s">
        <v>1175</v>
      </c>
      <c r="C401" t="s">
        <v>1152</v>
      </c>
      <c r="D401" t="s">
        <v>1153</v>
      </c>
      <c r="F401" t="s">
        <v>1176</v>
      </c>
      <c r="J401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02" spans="2:10" x14ac:dyDescent="0.35">
      <c r="B402" t="s">
        <v>1177</v>
      </c>
      <c r="C402" t="s">
        <v>821</v>
      </c>
      <c r="D402" t="s">
        <v>834</v>
      </c>
      <c r="J402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03" spans="2:10" x14ac:dyDescent="0.35">
      <c r="B403" t="s">
        <v>1178</v>
      </c>
      <c r="C403" t="s">
        <v>821</v>
      </c>
      <c r="D403" t="s">
        <v>834</v>
      </c>
      <c r="J403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04" spans="2:10" x14ac:dyDescent="0.35">
      <c r="B404" t="s">
        <v>1179</v>
      </c>
      <c r="C404" t="s">
        <v>821</v>
      </c>
      <c r="D404" t="s">
        <v>1071</v>
      </c>
      <c r="J404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  <row r="405" spans="2:10" x14ac:dyDescent="0.35">
      <c r="B405" t="s">
        <v>1180</v>
      </c>
      <c r="C405" t="s">
        <v>821</v>
      </c>
      <c r="D405" t="s">
        <v>834</v>
      </c>
      <c r="J405">
        <f>CEILING((Query1[[#This Row],[Cost Price ( MYR )]] / (1 - _xlfn.XLOOKUP(Query1[[#This Row],[Business Unit]], Margins!A:A, Margins!C:C))) * (1 - _xlfn.XLOOKUP(Query1[[#This Row],[Business Unit]], Margins!A:A, Margins!D:D)),5)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A838-511D-4DD4-8773-795606D2155E}">
  <dimension ref="A1:E32"/>
  <sheetViews>
    <sheetView topLeftCell="A13" workbookViewId="0">
      <selection activeCell="H13" sqref="H13"/>
    </sheetView>
  </sheetViews>
  <sheetFormatPr defaultRowHeight="14.5" x14ac:dyDescent="0.35"/>
  <cols>
    <col min="1" max="1" width="24.453125" style="5" customWidth="1"/>
    <col min="2" max="2" width="19" bestFit="1" customWidth="1"/>
    <col min="3" max="3" width="48.6328125" bestFit="1" customWidth="1"/>
    <col min="4" max="4" width="8.36328125" bestFit="1" customWidth="1"/>
  </cols>
  <sheetData>
    <row r="1" spans="1:5" x14ac:dyDescent="0.35">
      <c r="A1" s="5" t="s">
        <v>0</v>
      </c>
      <c r="B1" t="s">
        <v>1181</v>
      </c>
      <c r="C1" t="s">
        <v>1</v>
      </c>
      <c r="D1" t="s">
        <v>1256</v>
      </c>
      <c r="E1" t="s">
        <v>9</v>
      </c>
    </row>
    <row r="2" spans="1:5" x14ac:dyDescent="0.35">
      <c r="A2" s="5">
        <v>4.6025030000051901E+18</v>
      </c>
      <c r="B2" s="4" t="s">
        <v>1182</v>
      </c>
      <c r="C2" s="4" t="s">
        <v>1183</v>
      </c>
      <c r="D2" s="4" t="s">
        <v>1257</v>
      </c>
      <c r="E2" s="4">
        <f>_xlfn.XLOOKUP(Query2[[#This Row],[Item ID]],[1]PASTE_ZOHO_HERE!$A$2:$A$32,[1]PASTE_ZOHO_HERE!$H$2:$H$32)</f>
        <v>240</v>
      </c>
    </row>
    <row r="3" spans="1:5" x14ac:dyDescent="0.35">
      <c r="A3" s="5">
        <v>4.6025030000052398E+18</v>
      </c>
      <c r="B3" s="4" t="s">
        <v>1184</v>
      </c>
      <c r="C3" s="4" t="s">
        <v>1185</v>
      </c>
      <c r="D3" s="4" t="s">
        <v>1257</v>
      </c>
      <c r="E3" s="4">
        <f>_xlfn.XLOOKUP(Query2[[#This Row],[Item ID]],[1]PASTE_ZOHO_HERE!$A$2:$A$32,[1]PASTE_ZOHO_HERE!$H$2:$H$32)</f>
        <v>1290</v>
      </c>
    </row>
    <row r="4" spans="1:5" x14ac:dyDescent="0.35">
      <c r="A4" s="5">
        <v>4.6025030000053202E+18</v>
      </c>
      <c r="B4" s="4" t="s">
        <v>1186</v>
      </c>
      <c r="C4" s="4" t="s">
        <v>1187</v>
      </c>
      <c r="D4" s="4" t="s">
        <v>1257</v>
      </c>
      <c r="E4" s="4">
        <f>_xlfn.XLOOKUP(Query2[[#This Row],[Item ID]],[1]PASTE_ZOHO_HERE!$A$2:$A$32,[1]PASTE_ZOHO_HERE!$H$2:$H$32)</f>
        <v>1090</v>
      </c>
    </row>
    <row r="5" spans="1:5" x14ac:dyDescent="0.35">
      <c r="A5" s="5">
        <v>4.6025030000053601E+18</v>
      </c>
      <c r="B5" s="4" t="s">
        <v>1188</v>
      </c>
      <c r="C5" s="4" t="s">
        <v>1189</v>
      </c>
      <c r="D5" s="4" t="s">
        <v>1257</v>
      </c>
      <c r="E5" s="4">
        <f>_xlfn.XLOOKUP(Query2[[#This Row],[Item ID]],[1]PASTE_ZOHO_HERE!$A$2:$A$32,[1]PASTE_ZOHO_HERE!$H$2:$H$32)</f>
        <v>1220</v>
      </c>
    </row>
    <row r="6" spans="1:5" x14ac:dyDescent="0.35">
      <c r="A6" s="5">
        <v>4.6025030000060201E+18</v>
      </c>
      <c r="B6" s="4" t="s">
        <v>1190</v>
      </c>
      <c r="C6" s="4" t="s">
        <v>1191</v>
      </c>
      <c r="D6" s="4" t="s">
        <v>1257</v>
      </c>
      <c r="E6" s="4">
        <f>_xlfn.XLOOKUP(Query2[[#This Row],[Item ID]],[1]PASTE_ZOHO_HERE!$A$2:$A$32,[1]PASTE_ZOHO_HERE!$H$2:$H$32)</f>
        <v>1820</v>
      </c>
    </row>
    <row r="7" spans="1:5" x14ac:dyDescent="0.35">
      <c r="A7" s="5">
        <v>4.60250300000606E+18</v>
      </c>
      <c r="B7" s="4" t="s">
        <v>1192</v>
      </c>
      <c r="C7" s="4" t="s">
        <v>1193</v>
      </c>
      <c r="D7" s="4" t="s">
        <v>1257</v>
      </c>
      <c r="E7" s="4">
        <f>_xlfn.XLOOKUP(Query2[[#This Row],[Item ID]],[1]PASTE_ZOHO_HERE!$A$2:$A$32,[1]PASTE_ZOHO_HERE!$H$2:$H$32)</f>
        <v>400</v>
      </c>
    </row>
    <row r="8" spans="1:5" x14ac:dyDescent="0.35">
      <c r="A8" s="5">
        <v>4.6025030000060698E+18</v>
      </c>
      <c r="B8" s="4" t="s">
        <v>1194</v>
      </c>
      <c r="C8" s="4" t="s">
        <v>1195</v>
      </c>
      <c r="D8" s="4" t="s">
        <v>1257</v>
      </c>
      <c r="E8" s="4">
        <f>_xlfn.XLOOKUP(Query2[[#This Row],[Item ID]],[1]PASTE_ZOHO_HERE!$A$2:$A$32,[1]PASTE_ZOHO_HERE!$H$2:$H$32)</f>
        <v>10825</v>
      </c>
    </row>
    <row r="9" spans="1:5" x14ac:dyDescent="0.35">
      <c r="A9" s="5">
        <v>4.6025030000072699E+18</v>
      </c>
      <c r="B9" s="4" t="s">
        <v>1196</v>
      </c>
      <c r="C9" s="4" t="s">
        <v>1197</v>
      </c>
      <c r="D9" s="4" t="s">
        <v>1257</v>
      </c>
      <c r="E9" s="4">
        <f>_xlfn.XLOOKUP(Query2[[#This Row],[Item ID]],[1]PASTE_ZOHO_HERE!$A$2:$A$32,[1]PASTE_ZOHO_HERE!$H$2:$H$32)</f>
        <v>0</v>
      </c>
    </row>
    <row r="10" spans="1:5" x14ac:dyDescent="0.35">
      <c r="A10" s="5">
        <v>4.6025030000087598E+18</v>
      </c>
      <c r="B10" s="4" t="s">
        <v>1198</v>
      </c>
      <c r="C10" s="4" t="s">
        <v>1199</v>
      </c>
      <c r="D10" s="4" t="s">
        <v>1257</v>
      </c>
      <c r="E10" s="4">
        <f>_xlfn.XLOOKUP(Query2[[#This Row],[Item ID]],[1]PASTE_ZOHO_HERE!$A$2:$A$32,[1]PASTE_ZOHO_HERE!$H$2:$H$32)</f>
        <v>1000</v>
      </c>
    </row>
    <row r="11" spans="1:5" x14ac:dyDescent="0.35">
      <c r="A11" s="5">
        <v>4.6025030000096302E+18</v>
      </c>
      <c r="B11" s="4" t="s">
        <v>1200</v>
      </c>
      <c r="C11" s="4" t="s">
        <v>1201</v>
      </c>
      <c r="D11" s="4" t="s">
        <v>1257</v>
      </c>
      <c r="E11" s="4">
        <f>_xlfn.XLOOKUP(Query2[[#This Row],[Item ID]],[1]PASTE_ZOHO_HERE!$A$2:$A$32,[1]PASTE_ZOHO_HERE!$H$2:$H$32)</f>
        <v>170</v>
      </c>
    </row>
    <row r="12" spans="1:5" x14ac:dyDescent="0.35">
      <c r="A12" s="5">
        <v>4.60250300001186E+18</v>
      </c>
      <c r="B12" s="4" t="s">
        <v>1202</v>
      </c>
      <c r="C12" s="4" t="s">
        <v>1203</v>
      </c>
      <c r="D12" s="4" t="s">
        <v>1257</v>
      </c>
      <c r="E12" s="4">
        <f>_xlfn.XLOOKUP(Query2[[#This Row],[Item ID]],[1]PASTE_ZOHO_HERE!$A$2:$A$32,[1]PASTE_ZOHO_HERE!$H$2:$H$32)</f>
        <v>1055</v>
      </c>
    </row>
    <row r="13" spans="1:5" x14ac:dyDescent="0.35">
      <c r="A13" s="5">
        <v>4.6025030000159002E+18</v>
      </c>
      <c r="B13" s="4" t="s">
        <v>1204</v>
      </c>
      <c r="C13" s="4" t="s">
        <v>1205</v>
      </c>
      <c r="D13" s="4" t="s">
        <v>1257</v>
      </c>
      <c r="E13" s="4">
        <f>_xlfn.XLOOKUP(Query2[[#This Row],[Item ID]],[1]PASTE_ZOHO_HERE!$A$2:$A$32,[1]PASTE_ZOHO_HERE!$H$2:$H$32)</f>
        <v>0</v>
      </c>
    </row>
    <row r="14" spans="1:5" x14ac:dyDescent="0.35">
      <c r="A14" s="5">
        <v>4.6025030000160901E+18</v>
      </c>
      <c r="B14" s="4" t="s">
        <v>1206</v>
      </c>
      <c r="C14" s="4" t="s">
        <v>1206</v>
      </c>
      <c r="D14" s="4" t="s">
        <v>1257</v>
      </c>
      <c r="E14" s="4">
        <f>_xlfn.XLOOKUP(Query2[[#This Row],[Item ID]],[1]PASTE_ZOHO_HERE!$A$2:$A$32,[1]PASTE_ZOHO_HERE!$H$2:$H$32)</f>
        <v>0</v>
      </c>
    </row>
    <row r="15" spans="1:5" x14ac:dyDescent="0.35">
      <c r="A15" s="5">
        <v>4.6025030000161398E+18</v>
      </c>
      <c r="B15" s="4" t="s">
        <v>1207</v>
      </c>
      <c r="C15" s="4" t="s">
        <v>1208</v>
      </c>
      <c r="D15" s="4" t="s">
        <v>1257</v>
      </c>
      <c r="E15" s="4">
        <f>_xlfn.XLOOKUP(Query2[[#This Row],[Item ID]],[1]PASTE_ZOHO_HERE!$A$2:$A$32,[1]PASTE_ZOHO_HERE!$H$2:$H$32)</f>
        <v>510</v>
      </c>
    </row>
    <row r="16" spans="1:5" x14ac:dyDescent="0.35">
      <c r="A16" s="5">
        <v>4.6025030000161597E+18</v>
      </c>
      <c r="B16" s="4" t="s">
        <v>1209</v>
      </c>
      <c r="C16" s="4" t="s">
        <v>1210</v>
      </c>
      <c r="D16" s="4" t="s">
        <v>1257</v>
      </c>
      <c r="E16" s="4">
        <f>_xlfn.XLOOKUP(Query2[[#This Row],[Item ID]],[1]PASTE_ZOHO_HERE!$A$2:$A$32,[1]PASTE_ZOHO_HERE!$H$2:$H$32)</f>
        <v>720</v>
      </c>
    </row>
    <row r="17" spans="1:5" x14ac:dyDescent="0.35">
      <c r="A17" s="5">
        <v>4.60250300001613E+18</v>
      </c>
      <c r="B17" s="4" t="s">
        <v>1211</v>
      </c>
      <c r="C17" s="4" t="s">
        <v>1212</v>
      </c>
      <c r="D17" s="4" t="s">
        <v>1257</v>
      </c>
      <c r="E17" s="4">
        <f>_xlfn.XLOOKUP(Query2[[#This Row],[Item ID]],[1]PASTE_ZOHO_HERE!$A$2:$A$32,[1]PASTE_ZOHO_HERE!$H$2:$H$32)</f>
        <v>55</v>
      </c>
    </row>
    <row r="18" spans="1:5" x14ac:dyDescent="0.35">
      <c r="A18" s="5">
        <v>4.60250300001617E+18</v>
      </c>
      <c r="B18" s="4" t="s">
        <v>1213</v>
      </c>
      <c r="C18" s="4" t="s">
        <v>1214</v>
      </c>
      <c r="D18" s="4" t="s">
        <v>1257</v>
      </c>
      <c r="E18" s="4">
        <f>_xlfn.XLOOKUP(Query2[[#This Row],[Item ID]],[1]PASTE_ZOHO_HERE!$A$2:$A$32,[1]PASTE_ZOHO_HERE!$H$2:$H$32)</f>
        <v>1055</v>
      </c>
    </row>
    <row r="19" spans="1:5" x14ac:dyDescent="0.35">
      <c r="A19" s="5">
        <v>4.6025030000162002E+18</v>
      </c>
      <c r="B19" s="4" t="s">
        <v>1215</v>
      </c>
      <c r="C19" s="4" t="s">
        <v>1216</v>
      </c>
      <c r="D19" s="4" t="s">
        <v>1257</v>
      </c>
      <c r="E19" s="4">
        <f>_xlfn.XLOOKUP(Query2[[#This Row],[Item ID]],[1]PASTE_ZOHO_HERE!$A$2:$A$32,[1]PASTE_ZOHO_HERE!$H$2:$H$32)</f>
        <v>200</v>
      </c>
    </row>
    <row r="20" spans="1:5" x14ac:dyDescent="0.35">
      <c r="A20" s="5">
        <v>4.6025030000179702E+18</v>
      </c>
      <c r="B20" s="4" t="s">
        <v>1217</v>
      </c>
      <c r="C20" s="4" t="s">
        <v>1218</v>
      </c>
      <c r="D20" s="4" t="s">
        <v>1257</v>
      </c>
      <c r="E20" s="4">
        <f>_xlfn.XLOOKUP(Query2[[#This Row],[Item ID]],[1]PASTE_ZOHO_HERE!$A$2:$A$32,[1]PASTE_ZOHO_HERE!$H$2:$H$32)</f>
        <v>1055</v>
      </c>
    </row>
    <row r="21" spans="1:5" x14ac:dyDescent="0.35">
      <c r="A21" s="5">
        <v>4.6025030000180301E+18</v>
      </c>
      <c r="B21" s="4" t="s">
        <v>1219</v>
      </c>
      <c r="C21" s="4" t="s">
        <v>1220</v>
      </c>
      <c r="D21" s="4" t="s">
        <v>1257</v>
      </c>
      <c r="E21" s="4">
        <f>_xlfn.XLOOKUP(Query2[[#This Row],[Item ID]],[1]PASTE_ZOHO_HERE!$A$2:$A$32,[1]PASTE_ZOHO_HERE!$H$2:$H$32)</f>
        <v>7575</v>
      </c>
    </row>
    <row r="22" spans="1:5" x14ac:dyDescent="0.35">
      <c r="A22" s="5">
        <v>4.6025030000180398E+18</v>
      </c>
      <c r="B22" s="4" t="s">
        <v>1221</v>
      </c>
      <c r="C22" s="4" t="s">
        <v>1222</v>
      </c>
      <c r="D22" s="4" t="s">
        <v>1257</v>
      </c>
      <c r="E22" s="4">
        <f>_xlfn.XLOOKUP(Query2[[#This Row],[Item ID]],[1]PASTE_ZOHO_HERE!$A$2:$A$32,[1]PASTE_ZOHO_HERE!$H$2:$H$32)</f>
        <v>610</v>
      </c>
    </row>
    <row r="23" spans="1:5" x14ac:dyDescent="0.35">
      <c r="A23" s="5">
        <v>4.60250300001805E+18</v>
      </c>
      <c r="B23" s="4" t="s">
        <v>1223</v>
      </c>
      <c r="C23" s="4" t="s">
        <v>1224</v>
      </c>
      <c r="D23" s="4" t="s">
        <v>1257</v>
      </c>
      <c r="E23" s="4">
        <f>_xlfn.XLOOKUP(Query2[[#This Row],[Item ID]],[1]PASTE_ZOHO_HERE!$A$2:$A$32,[1]PASTE_ZOHO_HERE!$H$2:$H$32)</f>
        <v>790</v>
      </c>
    </row>
    <row r="24" spans="1:5" x14ac:dyDescent="0.35">
      <c r="A24" s="5">
        <v>4.6025030000180598E+18</v>
      </c>
      <c r="B24" s="4" t="s">
        <v>1225</v>
      </c>
      <c r="C24" s="4" t="s">
        <v>1226</v>
      </c>
      <c r="D24" s="4" t="s">
        <v>1257</v>
      </c>
      <c r="E24" s="4">
        <f>_xlfn.XLOOKUP(Query2[[#This Row],[Item ID]],[1]PASTE_ZOHO_HERE!$A$2:$A$32,[1]PASTE_ZOHO_HERE!$H$2:$H$32)</f>
        <v>450</v>
      </c>
    </row>
    <row r="25" spans="1:5" x14ac:dyDescent="0.35">
      <c r="A25" s="5">
        <v>4.6025030000184202E+18</v>
      </c>
      <c r="B25" s="4" t="s">
        <v>1227</v>
      </c>
      <c r="C25" s="4" t="s">
        <v>1228</v>
      </c>
      <c r="D25" s="4" t="s">
        <v>1257</v>
      </c>
      <c r="E25" s="4">
        <f>_xlfn.XLOOKUP(Query2[[#This Row],[Item ID]],[1]PASTE_ZOHO_HERE!$A$2:$A$32,[1]PASTE_ZOHO_HERE!$H$2:$H$32)</f>
        <v>14075</v>
      </c>
    </row>
    <row r="26" spans="1:5" x14ac:dyDescent="0.35">
      <c r="A26" s="5">
        <v>4.6025030000185298E+18</v>
      </c>
      <c r="B26" s="4" t="s">
        <v>1229</v>
      </c>
      <c r="C26" s="4" t="s">
        <v>1230</v>
      </c>
      <c r="D26" s="4" t="s">
        <v>1257</v>
      </c>
      <c r="E26" s="4">
        <f>_xlfn.XLOOKUP(Query2[[#This Row],[Item ID]],[1]PASTE_ZOHO_HERE!$A$2:$A$32,[1]PASTE_ZOHO_HERE!$H$2:$H$32)</f>
        <v>840</v>
      </c>
    </row>
    <row r="27" spans="1:5" x14ac:dyDescent="0.35">
      <c r="A27" s="5">
        <v>4.60250300001854E+18</v>
      </c>
      <c r="B27" s="4" t="s">
        <v>1231</v>
      </c>
      <c r="C27" s="4" t="s">
        <v>1232</v>
      </c>
      <c r="D27" s="4" t="s">
        <v>1257</v>
      </c>
      <c r="E27" s="4">
        <f>_xlfn.XLOOKUP(Query2[[#This Row],[Item ID]],[1]PASTE_ZOHO_HERE!$A$2:$A$32,[1]PASTE_ZOHO_HERE!$H$2:$H$32)</f>
        <v>1570</v>
      </c>
    </row>
    <row r="28" spans="1:5" x14ac:dyDescent="0.35">
      <c r="A28" s="5">
        <v>4.6025030000189701E+18</v>
      </c>
      <c r="B28" s="4" t="s">
        <v>1233</v>
      </c>
      <c r="C28" s="4" t="s">
        <v>1234</v>
      </c>
      <c r="D28" s="4" t="s">
        <v>1257</v>
      </c>
      <c r="E28" s="4">
        <f>_xlfn.XLOOKUP(Query2[[#This Row],[Item ID]],[1]PASTE_ZOHO_HERE!$A$2:$A$32,[1]PASTE_ZOHO_HERE!$H$2:$H$32)</f>
        <v>2200</v>
      </c>
    </row>
    <row r="29" spans="1:5" x14ac:dyDescent="0.35">
      <c r="A29" s="5">
        <v>4.6025030000190403E+18</v>
      </c>
      <c r="B29" s="4" t="s">
        <v>1235</v>
      </c>
      <c r="C29" s="4" t="s">
        <v>1236</v>
      </c>
      <c r="D29" s="4" t="s">
        <v>1257</v>
      </c>
      <c r="E29" s="4">
        <f>_xlfn.XLOOKUP(Query2[[#This Row],[Item ID]],[1]PASTE_ZOHO_HERE!$A$2:$A$32,[1]PASTE_ZOHO_HERE!$H$2:$H$32)</f>
        <v>17535</v>
      </c>
    </row>
    <row r="30" spans="1:5" x14ac:dyDescent="0.35">
      <c r="A30" s="5">
        <v>4.6025030000190802E+18</v>
      </c>
      <c r="B30" s="4" t="s">
        <v>1237</v>
      </c>
      <c r="C30" s="4" t="s">
        <v>1238</v>
      </c>
      <c r="D30" s="4" t="s">
        <v>1257</v>
      </c>
      <c r="E30" s="4">
        <f>_xlfn.XLOOKUP(Query2[[#This Row],[Item ID]],[1]PASTE_ZOHO_HERE!$A$2:$A$32,[1]PASTE_ZOHO_HERE!$H$2:$H$32)</f>
        <v>2200</v>
      </c>
    </row>
    <row r="31" spans="1:5" x14ac:dyDescent="0.35">
      <c r="A31" s="5">
        <v>4.6025030000197499E+18</v>
      </c>
      <c r="B31" s="4" t="s">
        <v>1239</v>
      </c>
      <c r="C31" s="4" t="s">
        <v>1240</v>
      </c>
      <c r="D31" s="4" t="s">
        <v>1257</v>
      </c>
      <c r="E31" s="4">
        <f>_xlfn.XLOOKUP(Query2[[#This Row],[Item ID]],[1]PASTE_ZOHO_HERE!$A$2:$A$32,[1]PASTE_ZOHO_HERE!$H$2:$H$32)</f>
        <v>0</v>
      </c>
    </row>
    <row r="32" spans="1:5" x14ac:dyDescent="0.35">
      <c r="A32" s="5">
        <v>4.6025030000201999E+18</v>
      </c>
      <c r="B32" s="4" t="s">
        <v>1241</v>
      </c>
      <c r="C32" s="4" t="s">
        <v>1242</v>
      </c>
      <c r="D32" s="4" t="s">
        <v>1257</v>
      </c>
      <c r="E32" s="4">
        <f>_xlfn.XLOOKUP(Query2[[#This Row],[Item ID]],[1]PASTE_ZOHO_HERE!$A$2:$A$32,[1]PASTE_ZOHO_HERE!$H$2:$H$32)</f>
        <v>945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4975-A73D-F24C-B2E0-6FA6C2484B5C}">
  <dimension ref="A1:L13"/>
  <sheetViews>
    <sheetView zoomScaleNormal="150" zoomScaleSheetLayoutView="100" workbookViewId="0">
      <selection activeCell="C3" sqref="C3"/>
    </sheetView>
  </sheetViews>
  <sheetFormatPr defaultRowHeight="14.5" x14ac:dyDescent="0.35"/>
  <cols>
    <col min="1" max="1" width="24.81640625" bestFit="1" customWidth="1"/>
    <col min="2" max="2" width="7.7265625" customWidth="1"/>
    <col min="3" max="4" width="9.7265625" style="1" customWidth="1"/>
    <col min="5" max="5" width="14.54296875" style="1" bestFit="1" customWidth="1"/>
    <col min="6" max="6" width="14.81640625" style="1" bestFit="1" customWidth="1"/>
    <col min="7" max="7" width="13" style="1" bestFit="1" customWidth="1"/>
    <col min="8" max="8" width="13" style="1" customWidth="1"/>
    <col min="9" max="9" width="9.7265625" style="1" bestFit="1" customWidth="1"/>
    <col min="10" max="10" width="10.26953125" bestFit="1" customWidth="1"/>
    <col min="11" max="11" width="7.81640625" style="1" bestFit="1" customWidth="1"/>
  </cols>
  <sheetData>
    <row r="1" spans="1:12" x14ac:dyDescent="0.35">
      <c r="A1" s="3" t="s">
        <v>1243</v>
      </c>
      <c r="B1" s="3" t="s">
        <v>1244</v>
      </c>
      <c r="C1" s="1" t="s">
        <v>1245</v>
      </c>
      <c r="D1" s="1" t="s">
        <v>1246</v>
      </c>
      <c r="E1" s="1" t="s">
        <v>1247</v>
      </c>
      <c r="F1" s="1" t="s">
        <v>1248</v>
      </c>
      <c r="G1" s="1" t="s">
        <v>1249</v>
      </c>
      <c r="H1" s="1" t="s">
        <v>1250</v>
      </c>
      <c r="I1" s="1" t="s">
        <v>1251</v>
      </c>
      <c r="J1" s="1" t="s">
        <v>1252</v>
      </c>
      <c r="K1" s="1" t="s">
        <v>1253</v>
      </c>
      <c r="L1" t="s">
        <v>1254</v>
      </c>
    </row>
    <row r="2" spans="1:12" x14ac:dyDescent="0.35">
      <c r="A2" t="s">
        <v>1152</v>
      </c>
      <c r="B2">
        <v>20</v>
      </c>
      <c r="C2" s="2">
        <v>0.9</v>
      </c>
      <c r="D2" s="2">
        <v>0.33300000000000002</v>
      </c>
      <c r="E2" s="2">
        <v>0.4</v>
      </c>
      <c r="F2" s="2">
        <v>0.45</v>
      </c>
      <c r="G2" s="2">
        <v>0.51</v>
      </c>
      <c r="H2" s="2"/>
      <c r="I2" s="2">
        <f>1 - ((1 - $C$2) / (1 - E2))</f>
        <v>0.83333333333333337</v>
      </c>
      <c r="J2" s="2">
        <f>1 - ((1 - $C$2) / (1 - F2))</f>
        <v>0.81818181818181823</v>
      </c>
      <c r="K2" s="2">
        <f>1 - ((1 - $C$2) / (1 - G2))</f>
        <v>0.79591836734693877</v>
      </c>
    </row>
    <row r="3" spans="1:12" x14ac:dyDescent="0.35">
      <c r="A3" t="s">
        <v>604</v>
      </c>
      <c r="B3">
        <v>28</v>
      </c>
      <c r="C3" s="2">
        <v>0.625</v>
      </c>
      <c r="D3" s="2">
        <v>0.33300000000000002</v>
      </c>
      <c r="E3" s="2">
        <v>0.4</v>
      </c>
      <c r="F3" s="2">
        <v>0.45</v>
      </c>
      <c r="G3" s="2">
        <v>0.51</v>
      </c>
      <c r="H3" s="2">
        <v>0.56000000000000005</v>
      </c>
      <c r="I3" s="2">
        <f>1 - ((1 - $C$3) / (1 - E3))</f>
        <v>0.375</v>
      </c>
      <c r="J3" s="2">
        <f>1 - ((1 - $C$3) / (1 - F3))</f>
        <v>0.31818181818181823</v>
      </c>
      <c r="K3" s="2">
        <f>1 - ((1 - $C$3) / (1 - G3))</f>
        <v>0.23469387755102045</v>
      </c>
      <c r="L3" s="2">
        <f>1 - ((1 - $C$3) / (1 - H3))</f>
        <v>0.1477272727272726</v>
      </c>
    </row>
    <row r="4" spans="1:12" x14ac:dyDescent="0.35">
      <c r="A4" t="s">
        <v>1121</v>
      </c>
      <c r="B4">
        <v>10</v>
      </c>
      <c r="C4" s="2">
        <v>0.625</v>
      </c>
      <c r="D4" s="2">
        <v>0.33300000000000002</v>
      </c>
      <c r="E4" s="2">
        <v>0.4</v>
      </c>
      <c r="F4" s="2">
        <v>0.45</v>
      </c>
      <c r="G4" s="2">
        <v>0.51</v>
      </c>
      <c r="H4" s="2"/>
      <c r="I4" s="2">
        <f>1 - ((1 -$C$4) / (1 - E4))</f>
        <v>0.375</v>
      </c>
      <c r="J4" s="2">
        <f t="shared" ref="J4:K4" si="0">1 - ((1 -$C$4) / (1 - F4))</f>
        <v>0.31818181818181823</v>
      </c>
      <c r="K4" s="2">
        <f t="shared" si="0"/>
        <v>0.23469387755102045</v>
      </c>
    </row>
    <row r="5" spans="1:12" x14ac:dyDescent="0.35">
      <c r="A5" t="s">
        <v>821</v>
      </c>
      <c r="B5">
        <v>5</v>
      </c>
      <c r="C5" s="2">
        <v>0.75</v>
      </c>
      <c r="D5" s="2">
        <v>0.33300000000000002</v>
      </c>
      <c r="E5" s="2">
        <v>0.4</v>
      </c>
      <c r="F5" s="2">
        <v>0.45</v>
      </c>
      <c r="G5" s="2">
        <v>0.51</v>
      </c>
      <c r="H5" s="2"/>
      <c r="I5" s="2">
        <f>1 - ((1 - $C$5) / (1 - E5))</f>
        <v>0.58333333333333326</v>
      </c>
      <c r="J5" s="2">
        <f t="shared" ref="J5:K5" si="1">1 - ((1 - $C$5) / (1 - F5))</f>
        <v>0.54545454545454541</v>
      </c>
      <c r="K5" s="2">
        <f t="shared" si="1"/>
        <v>0.48979591836734693</v>
      </c>
    </row>
    <row r="6" spans="1:12" x14ac:dyDescent="0.35">
      <c r="A6" t="s">
        <v>11</v>
      </c>
      <c r="B6">
        <v>5</v>
      </c>
      <c r="C6" s="2">
        <v>0.625</v>
      </c>
      <c r="D6" s="2">
        <v>0.33300000000000002</v>
      </c>
      <c r="E6" s="2">
        <v>0.4</v>
      </c>
      <c r="F6" s="2">
        <v>0.45</v>
      </c>
      <c r="G6" s="2">
        <v>0.51</v>
      </c>
      <c r="H6" s="2">
        <v>0.56000000000000005</v>
      </c>
      <c r="I6" s="2">
        <f>1 - ((1 - $C$6) / (1 - E6))</f>
        <v>0.375</v>
      </c>
      <c r="J6" s="2">
        <f t="shared" ref="J6:L6" si="2">1 - ((1 - $C$6) / (1 - F6))</f>
        <v>0.31818181818181823</v>
      </c>
      <c r="K6" s="2">
        <f t="shared" si="2"/>
        <v>0.23469387755102045</v>
      </c>
      <c r="L6" s="2">
        <f t="shared" si="2"/>
        <v>0.1477272727272726</v>
      </c>
    </row>
    <row r="7" spans="1:12" x14ac:dyDescent="0.35">
      <c r="A7" t="s">
        <v>481</v>
      </c>
      <c r="B7">
        <v>15</v>
      </c>
      <c r="C7" s="2">
        <v>0.625</v>
      </c>
      <c r="D7" s="2">
        <v>0.33300000000000002</v>
      </c>
      <c r="E7" s="2">
        <v>0.4</v>
      </c>
      <c r="F7" s="2">
        <v>0.45</v>
      </c>
      <c r="G7" s="2">
        <v>0.51</v>
      </c>
      <c r="H7" s="2"/>
      <c r="I7" s="2">
        <f>1 - ((1 - $C$7) / (1 - E7))</f>
        <v>0.375</v>
      </c>
      <c r="J7" s="2">
        <f t="shared" ref="J7:K7" si="3">1 - ((1 - $C$7) / (1 - F7))</f>
        <v>0.31818181818181823</v>
      </c>
      <c r="K7" s="2">
        <f t="shared" si="3"/>
        <v>0.23469387755102045</v>
      </c>
    </row>
    <row r="8" spans="1:12" x14ac:dyDescent="0.35">
      <c r="A8" t="s">
        <v>325</v>
      </c>
      <c r="B8">
        <v>5</v>
      </c>
      <c r="C8" s="2">
        <v>0.7</v>
      </c>
      <c r="D8" s="2">
        <v>0.33300000000000002</v>
      </c>
      <c r="E8" s="2">
        <v>0.4</v>
      </c>
      <c r="F8" s="2">
        <v>0.45</v>
      </c>
      <c r="G8" s="2">
        <v>0.51</v>
      </c>
      <c r="H8" s="2"/>
      <c r="I8" s="2">
        <f>1 - ((1 - $C$8) / (1 - E8))</f>
        <v>0.49999999999999989</v>
      </c>
      <c r="J8" s="2">
        <f t="shared" ref="J8:K8" si="4">1 - ((1 - $C$8) / (1 - F8))</f>
        <v>0.45454545454545447</v>
      </c>
      <c r="K8" s="2">
        <f t="shared" si="4"/>
        <v>0.3877551020408162</v>
      </c>
    </row>
    <row r="9" spans="1:12" x14ac:dyDescent="0.35">
      <c r="A9" t="s">
        <v>385</v>
      </c>
      <c r="B9">
        <v>2</v>
      </c>
      <c r="C9" s="2">
        <v>0.75</v>
      </c>
      <c r="D9" s="2">
        <v>0.33300000000000002</v>
      </c>
      <c r="E9" s="2">
        <v>0.4</v>
      </c>
      <c r="F9" s="2">
        <v>0.45</v>
      </c>
      <c r="G9" s="2">
        <v>0.51</v>
      </c>
      <c r="H9" s="2"/>
      <c r="I9" s="2">
        <f>1 - ((1 - $C$9) / (1 - E9))</f>
        <v>0.58333333333333326</v>
      </c>
      <c r="J9" s="2">
        <f t="shared" ref="J9:K9" si="5">1 - ((1 - $C$9) / (1 - F9))</f>
        <v>0.54545454545454541</v>
      </c>
      <c r="K9" s="2">
        <f t="shared" si="5"/>
        <v>0.48979591836734693</v>
      </c>
    </row>
    <row r="10" spans="1:12" x14ac:dyDescent="0.35">
      <c r="B10">
        <f>SUM(B2:B9)</f>
        <v>90</v>
      </c>
      <c r="C10" s="2">
        <f>AVERAGE(C2:C9)</f>
        <v>0.70000000000000007</v>
      </c>
      <c r="D10" s="2"/>
      <c r="I10" s="2">
        <f>AVERAGE(I2:I9)</f>
        <v>0.5</v>
      </c>
      <c r="J10" s="2">
        <f>AVERAGE(J2:J9)</f>
        <v>0.45454545454545459</v>
      </c>
      <c r="K10" s="2">
        <f>AVERAGE(K2:K9)</f>
        <v>0.38775510204081631</v>
      </c>
    </row>
    <row r="12" spans="1:12" x14ac:dyDescent="0.35">
      <c r="A12" s="3" t="s">
        <v>1255</v>
      </c>
      <c r="B12" s="3"/>
    </row>
    <row r="13" spans="1:12" x14ac:dyDescent="0.35">
      <c r="A13" t="s">
        <v>1146</v>
      </c>
      <c r="C13" s="2">
        <v>0.51</v>
      </c>
      <c r="D13" s="2">
        <v>0.33300000000000002</v>
      </c>
      <c r="E13" s="2">
        <v>0.4</v>
      </c>
      <c r="F13" s="2">
        <v>0.45</v>
      </c>
      <c r="G13" s="2">
        <v>0.51</v>
      </c>
      <c r="H13" s="2"/>
      <c r="I13" s="2">
        <f>1 - ((1 - $C$13) / (1 - E13))</f>
        <v>0.18333333333333335</v>
      </c>
      <c r="J13" s="2">
        <f t="shared" ref="J13:K13" si="6">1 - ((1 - $C$13) / (1 - F13))</f>
        <v>0.10909090909090913</v>
      </c>
      <c r="K13" s="2">
        <f t="shared" si="6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0559DDAD81434B996A6ACB586F3BAC" ma:contentTypeVersion="3" ma:contentTypeDescription="Create a new document." ma:contentTypeScope="" ma:versionID="1d996acfe602593f78a9ed30e6188f74">
  <xsd:schema xmlns:xsd="http://www.w3.org/2001/XMLSchema" xmlns:xs="http://www.w3.org/2001/XMLSchema" xmlns:p="http://schemas.microsoft.com/office/2006/metadata/properties" xmlns:ns2="1a1c9d60-dcbb-4f50-baed-9970b26668f4" targetNamespace="http://schemas.microsoft.com/office/2006/metadata/properties" ma:root="true" ma:fieldsID="26282dcd591ec8d6891a241b35440751" ns2:_="">
    <xsd:import namespace="1a1c9d60-dcbb-4f50-baed-9970b26668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c9d60-dcbb-4f50-baed-9970b26668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B7890E01-FB95-4F5A-8E00-6019E63F3B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D7F7C7-19C5-43AA-8C1B-C92E66337D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c9d60-dcbb-4f50-baed-9970b26668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EA6383-A1F0-4CF4-8B69-5680CA78185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5C95902A-EB6A-4F92-AF65-121B13EC8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 SKUs</vt:lpstr>
      <vt:lpstr>Composite SKUs</vt:lpstr>
      <vt:lpstr>Margins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 Chok</dc:creator>
  <cp:keywords/>
  <dc:description/>
  <cp:lastModifiedBy>Chui Geok Ong</cp:lastModifiedBy>
  <cp:revision/>
  <dcterms:created xsi:type="dcterms:W3CDTF">2026-01-12T05:39:34Z</dcterms:created>
  <dcterms:modified xsi:type="dcterms:W3CDTF">2026-01-19T09:06:09Z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0x010100A00559DDAD81434B996A6ACB586F3BAC</vt:lpwstr>
  </property>
</Properties>
</file>