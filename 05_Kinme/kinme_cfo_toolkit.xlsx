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nu Engineering" sheetId="2" state="visible" r:id="rId2"/>
    <sheet xmlns:r="http://schemas.openxmlformats.org/officeDocument/2006/relationships" name="Daily Tracker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Invento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2F5496"/>
      <sz val="2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00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b val="1"/>
      <sz val="16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0" fillId="4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0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0" fillId="4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7" min="1" max="1"/>
    <col width="15" customWidth="1" style="17" min="2" max="2"/>
    <col width="25" customWidth="1" style="17" min="3" max="3"/>
  </cols>
  <sheetData>
    <row r="1" ht="24.45" customHeight="1" s="18">
      <c r="A1" s="19" t="inlineStr">
        <is>
          <t>KINME CFO DASHBOARD</t>
        </is>
      </c>
    </row>
    <row r="2" ht="15" customHeight="1" s="18">
      <c r="A2" s="17" t="inlineStr">
        <is>
          <t>Sashimi | Sake | Grill Bar</t>
        </is>
      </c>
      <c r="B2" t="inlineStr">
        <is>
          <t>Data Date: 2026-01-31 | Analysis Period: January 2026</t>
        </is>
      </c>
    </row>
    <row r="3" ht="15" customHeight="1" s="18">
      <c r="A3" s="17" t="inlineStr">
        <is>
          <t>Data Date: 2026-01-31</t>
        </is>
      </c>
    </row>
    <row r="4">
      <c r="A4" s="20" t="inlineStr">
        <is>
          <t>JANUARY 2026 MONTHLY SUMMARY</t>
        </is>
      </c>
    </row>
    <row r="5" ht="17.35" customHeight="1" s="18">
      <c r="A5" s="21" t="inlineStr">
        <is>
          <t>Total Revenue</t>
        </is>
      </c>
      <c r="B5" t="inlineStr">
        <is>
          <t>RM 217,650.90</t>
        </is>
      </c>
    </row>
    <row r="6" ht="15" customHeight="1" s="18">
      <c r="A6" s="21" t="inlineStr">
        <is>
          <t>Total Discounts</t>
        </is>
      </c>
      <c r="B6" s="17" t="inlineStr">
        <is>
          <t>RM 5,415.33</t>
        </is>
      </c>
    </row>
    <row r="7" ht="15" customHeight="1" s="18">
      <c r="A7" s="21" t="inlineStr">
        <is>
          <t>Discount Rate</t>
        </is>
      </c>
      <c r="B7" s="17" t="inlineStr">
        <is>
          <t>2.43%</t>
        </is>
      </c>
    </row>
    <row r="8" ht="15" customHeight="1" s="18">
      <c r="A8" s="21" t="inlineStr">
        <is>
          <t>Net Sales</t>
        </is>
      </c>
      <c r="B8" s="17" t="inlineStr">
        <is>
          <t>RM 219,829.47</t>
        </is>
      </c>
    </row>
    <row r="9" ht="15" customHeight="1" s="18">
      <c r="A9" s="21" t="inlineStr">
        <is>
          <t>Total Customers</t>
        </is>
      </c>
      <c r="B9" s="22" t="inlineStr">
        <is>
          <t>1,682</t>
        </is>
      </c>
    </row>
    <row r="10" ht="15" customHeight="1" s="18">
      <c r="A10" s="21" t="inlineStr">
        <is>
          <t>Trading Days</t>
        </is>
      </c>
      <c r="B10" s="17" t="inlineStr">
        <is>
          <t>30</t>
        </is>
      </c>
    </row>
    <row r="11" ht="15" customHeight="1" s="18">
      <c r="A11" s="21" t="inlineStr">
        <is>
          <t>Avg Daily Revenue</t>
        </is>
      </c>
      <c r="B11" s="23" t="inlineStr">
        <is>
          <t>RM 7,255.03</t>
        </is>
      </c>
      <c r="C11" s="24" t="inlineStr">
        <is>
          <t>⚠️ HIGH - Target &lt;10%</t>
        </is>
      </c>
    </row>
    <row r="12" ht="15" customHeight="1" s="18">
      <c r="A12" s="21" t="inlineStr">
        <is>
          <t>Avg Daily Customers</t>
        </is>
      </c>
      <c r="B12" s="22" t="inlineStr">
        <is>
          <t>56</t>
        </is>
      </c>
    </row>
    <row r="14" ht="17.35" customHeight="1" s="18">
      <c r="A14" s="25" t="inlineStr">
        <is>
          <t>ALERTS</t>
        </is>
      </c>
    </row>
    <row r="15" ht="15" customHeight="1" s="18">
      <c r="A15" s="17" t="inlineStr">
        <is>
          <t>⚠️ Discount rate at 21.7% - investigate discount policy</t>
        </is>
      </c>
    </row>
    <row r="16" ht="15" customHeight="1" s="18">
      <c r="A16" s="17" t="inlineStr">
        <is>
          <t>⚠️ Food costs not tracked in POS - need manual input</t>
        </is>
      </c>
    </row>
    <row r="17" ht="15" customHeight="1" s="18">
      <c r="A17" s="17" t="inlineStr">
        <is>
          <t>⚠️ Single day data only - export 30 days for trends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7" min="1" max="1"/>
    <col width="20" customWidth="1" style="17" min="2" max="2"/>
    <col width="15" customWidth="1" style="17" min="10" max="10"/>
  </cols>
  <sheetData>
    <row r="1" ht="19.7" customHeight="1" s="18">
      <c r="A1" s="26" t="inlineStr">
        <is>
          <t>MENU ENGINEERING ANALYSIS</t>
        </is>
      </c>
    </row>
    <row r="2" ht="15" customHeight="1" s="18">
      <c r="A2" s="17" t="inlineStr">
        <is>
          <t>Classify items: Stars, Plow Horses, Puzzles, Dogs</t>
        </is>
      </c>
    </row>
    <row r="3" ht="15" customHeight="1" s="18">
      <c r="A3" s="17" t="inlineStr">
        <is>
          <t>⚠️ Food Cost column needs manual input - currently showing 0</t>
        </is>
      </c>
    </row>
    <row r="5" ht="15" customHeight="1" s="18">
      <c r="A5" s="27" t="inlineStr">
        <is>
          <t>Item</t>
        </is>
      </c>
      <c r="B5" s="27" t="inlineStr">
        <is>
          <t>Category</t>
        </is>
      </c>
      <c r="C5" s="27" t="inlineStr">
        <is>
          <t>Qty Sold</t>
        </is>
      </c>
      <c r="D5" s="27" t="inlineStr">
        <is>
          <t>Revenue</t>
        </is>
      </c>
      <c r="E5" s="27" t="inlineStr">
        <is>
          <t>Unit Price</t>
        </is>
      </c>
      <c r="F5" s="27" t="inlineStr">
        <is>
          <t>Food Cost %</t>
        </is>
      </c>
      <c r="G5" s="27" t="inlineStr">
        <is>
          <t>Contribution Margin</t>
        </is>
      </c>
      <c r="H5" s="27" t="inlineStr">
        <is>
          <t>Popularity</t>
        </is>
      </c>
      <c r="I5" s="27" t="inlineStr">
        <is>
          <t>Profitability</t>
        </is>
      </c>
      <c r="J5" s="27" t="inlineStr">
        <is>
          <t>Classification</t>
        </is>
      </c>
    </row>
    <row r="6" ht="15" customHeight="1" s="18">
      <c r="A6" s="17" t="inlineStr">
        <is>
          <t>Botan Ebi Sashimi</t>
        </is>
      </c>
      <c r="B6" s="17" t="inlineStr">
        <is>
          <t>Sashimi Bar</t>
        </is>
      </c>
      <c r="C6" s="17" t="n">
        <v>11</v>
      </c>
      <c r="D6" s="17" t="n">
        <v>418</v>
      </c>
      <c r="E6" s="17" t="n">
        <v>38</v>
      </c>
      <c r="F6" s="28" t="n">
        <v>0</v>
      </c>
      <c r="G6" s="17">
        <f>D6*(1-F6)</f>
        <v/>
      </c>
      <c r="H6" s="17">
        <f>IF(C6&gt;3.4,"High","Low")</f>
        <v/>
      </c>
      <c r="I6" s="17">
        <f>IF(F6&lt;0.3,"High","Low")</f>
        <v/>
      </c>
      <c r="J6" s="17">
        <f>IF(AND(H6="High",I6="High"),"⭐ Star",IF(AND(H6="High",I6="Low"),"🐴 Plow Horse",IF(AND(H6="Low",I6="High"),"❓ Puzzle","🐕 Dog")))</f>
        <v/>
      </c>
    </row>
    <row r="7" ht="15" customHeight="1" s="18">
      <c r="A7" s="17" t="inlineStr">
        <is>
          <t>Iberico Shoulder Katsu</t>
        </is>
      </c>
      <c r="B7" s="17" t="inlineStr">
        <is>
          <t>Customized Product</t>
        </is>
      </c>
      <c r="C7" s="17" t="n">
        <v>11</v>
      </c>
      <c r="D7" s="17" t="n">
        <v>418</v>
      </c>
      <c r="E7" s="17" t="n">
        <v>0</v>
      </c>
      <c r="F7" s="28" t="n">
        <v>0</v>
      </c>
      <c r="G7" s="17">
        <f>D7*(1-F7)</f>
        <v/>
      </c>
      <c r="H7" s="17">
        <f>IF(C7&gt;3.4,"High","Low")</f>
        <v/>
      </c>
      <c r="I7" s="17">
        <f>IF(F7&lt;0.3,"High","Low")</f>
        <v/>
      </c>
      <c r="J7" s="17">
        <f>IF(AND(H7="High",I7="High"),"⭐ Star",IF(AND(H7="High",I7="Low"),"🐴 Plow Horse",IF(AND(H7="Low",I7="High"),"❓ Puzzle","🐕 Dog")))</f>
        <v/>
      </c>
    </row>
    <row r="8" ht="15" customHeight="1" s="18">
      <c r="A8" s="17" t="inlineStr">
        <is>
          <t>Iwate Oyster</t>
        </is>
      </c>
      <c r="B8" s="17" t="inlineStr">
        <is>
          <t>Seasonal</t>
        </is>
      </c>
      <c r="C8" s="17" t="n">
        <v>11</v>
      </c>
      <c r="D8" s="17" t="n">
        <v>418</v>
      </c>
      <c r="E8" s="17" t="n">
        <v>38</v>
      </c>
      <c r="F8" s="28" t="n">
        <v>0</v>
      </c>
      <c r="G8" s="17">
        <f>D8*(1-F8)</f>
        <v/>
      </c>
      <c r="H8" s="17">
        <f>IF(C8&gt;3.4,"High","Low")</f>
        <v/>
      </c>
      <c r="I8" s="17">
        <f>IF(F8&lt;0.3,"High","Low")</f>
        <v/>
      </c>
      <c r="J8" s="17">
        <f>IF(AND(H8="High",I8="High"),"⭐ Star",IF(AND(H8="High",I8="Low"),"🐴 Plow Horse",IF(AND(H8="Low",I8="High"),"❓ Puzzle","🐕 Dog")))</f>
        <v/>
      </c>
    </row>
    <row r="9" ht="15" customHeight="1" s="18">
      <c r="A9" s="17" t="inlineStr">
        <is>
          <t>Uni Sushi</t>
        </is>
      </c>
      <c r="B9" s="17" t="inlineStr">
        <is>
          <t>Sushi Bar</t>
        </is>
      </c>
      <c r="C9" s="17" t="n">
        <v>10</v>
      </c>
      <c r="D9" s="17" t="n">
        <v>1750</v>
      </c>
      <c r="E9" s="17" t="n">
        <v>175</v>
      </c>
      <c r="F9" s="28" t="n">
        <v>0</v>
      </c>
      <c r="G9" s="17">
        <f>D9*(1-F9)</f>
        <v/>
      </c>
      <c r="H9" s="17">
        <f>IF(C9&gt;3.4,"High","Low")</f>
        <v/>
      </c>
      <c r="I9" s="17">
        <f>IF(F9&lt;0.3,"High","Low")</f>
        <v/>
      </c>
      <c r="J9" s="17">
        <f>IF(AND(H9="High",I9="High"),"⭐ Star",IF(AND(H9="High",I9="Low"),"🐴 Plow Horse",IF(AND(H9="Low",I9="High"),"❓ Puzzle","🐕 Dog")))</f>
        <v/>
      </c>
    </row>
    <row r="10" ht="15" customHeight="1" s="18">
      <c r="A10" s="17" t="inlineStr">
        <is>
          <t>Miyazaki Akagai</t>
        </is>
      </c>
      <c r="B10" s="17" t="inlineStr">
        <is>
          <t>Seasonal</t>
        </is>
      </c>
      <c r="C10" s="17" t="n">
        <v>8</v>
      </c>
      <c r="D10" s="17" t="n">
        <v>704</v>
      </c>
      <c r="E10" s="17" t="n">
        <v>88</v>
      </c>
      <c r="F10" s="28" t="n">
        <v>0</v>
      </c>
      <c r="G10" s="17">
        <f>D10*(1-F10)</f>
        <v/>
      </c>
      <c r="H10" s="17">
        <f>IF(C10&gt;3.4,"High","Low")</f>
        <v/>
      </c>
      <c r="I10" s="17">
        <f>IF(F10&lt;0.3,"High","Low")</f>
        <v/>
      </c>
      <c r="J10" s="17">
        <f>IF(AND(H10="High",I10="High"),"⭐ Star",IF(AND(H10="High",I10="Low"),"🐴 Plow Horse",IF(AND(H10="Low",I10="High"),"❓ Puzzle","🐕 Dog")))</f>
        <v/>
      </c>
    </row>
    <row r="11" ht="15" customHeight="1" s="18">
      <c r="A11" s="17" t="inlineStr">
        <is>
          <t>Chirashi Don (Set)</t>
        </is>
      </c>
      <c r="B11" s="17" t="inlineStr">
        <is>
          <t>Oh My Don</t>
        </is>
      </c>
      <c r="C11" s="17" t="n">
        <v>8</v>
      </c>
      <c r="D11" s="17" t="n">
        <v>262</v>
      </c>
      <c r="E11" s="17" t="n">
        <v>31</v>
      </c>
      <c r="F11" s="28" t="n">
        <v>0</v>
      </c>
      <c r="G11" s="17">
        <f>D11*(1-F11)</f>
        <v/>
      </c>
      <c r="H11" s="17">
        <f>IF(C11&gt;3.4,"High","Low")</f>
        <v/>
      </c>
      <c r="I11" s="17">
        <f>IF(F11&lt;0.3,"High","Low")</f>
        <v/>
      </c>
      <c r="J11" s="17">
        <f>IF(AND(H11="High",I11="High"),"⭐ Star",IF(AND(H11="High",I11="Low"),"🐴 Plow Horse",IF(AND(H11="Low",I11="High"),"❓ Puzzle","🐕 Dog")))</f>
        <v/>
      </c>
    </row>
    <row r="12" ht="15" customHeight="1" s="18">
      <c r="A12" s="17" t="inlineStr">
        <is>
          <t>Hotate Sashimi</t>
        </is>
      </c>
      <c r="B12" s="17" t="inlineStr">
        <is>
          <t>Sashimi Bar</t>
        </is>
      </c>
      <c r="C12" s="17" t="n">
        <v>7</v>
      </c>
      <c r="D12" s="17" t="n">
        <v>196</v>
      </c>
      <c r="E12" s="17" t="n">
        <v>28</v>
      </c>
      <c r="F12" s="28" t="n">
        <v>0</v>
      </c>
      <c r="G12" s="17">
        <f>D12*(1-F12)</f>
        <v/>
      </c>
      <c r="H12" s="17">
        <f>IF(C12&gt;3.4,"High","Low")</f>
        <v/>
      </c>
      <c r="I12" s="17">
        <f>IF(F12&lt;0.3,"High","Low")</f>
        <v/>
      </c>
      <c r="J12" s="17">
        <f>IF(AND(H12="High",I12="High"),"⭐ Star",IF(AND(H12="High",I12="Low"),"🐴 Plow Horse",IF(AND(H12="Low",I12="High"),"❓ Puzzle","🐕 Dog")))</f>
        <v/>
      </c>
    </row>
    <row r="13" ht="15" customHeight="1" s="18">
      <c r="A13" s="17" t="inlineStr">
        <is>
          <t>Hokkaido Kegani</t>
        </is>
      </c>
      <c r="B13" s="17" t="inlineStr">
        <is>
          <t>Customized Product</t>
        </is>
      </c>
      <c r="C13" s="17" t="n">
        <v>6</v>
      </c>
      <c r="D13" s="17" t="n">
        <v>5880</v>
      </c>
      <c r="E13" s="17" t="n">
        <v>0</v>
      </c>
      <c r="F13" s="28" t="n">
        <v>0</v>
      </c>
      <c r="G13" s="17">
        <f>D13*(1-F13)</f>
        <v/>
      </c>
      <c r="H13" s="17">
        <f>IF(C13&gt;3.4,"High","Low")</f>
        <v/>
      </c>
      <c r="I13" s="17">
        <f>IF(F13&lt;0.3,"High","Low")</f>
        <v/>
      </c>
      <c r="J13" s="17">
        <f>IF(AND(H13="High",I13="High"),"⭐ Star",IF(AND(H13="High",I13="Low"),"🐴 Plow Horse",IF(AND(H13="Low",I13="High"),"❓ Puzzle","🐕 Dog")))</f>
        <v/>
      </c>
    </row>
    <row r="14" ht="15" customHeight="1" s="18">
      <c r="A14" s="17" t="inlineStr">
        <is>
          <t>Ika Sashimi</t>
        </is>
      </c>
      <c r="B14" s="17" t="inlineStr">
        <is>
          <t>Sashimi Bar</t>
        </is>
      </c>
      <c r="C14" s="17" t="n">
        <v>6</v>
      </c>
      <c r="D14" s="17" t="n">
        <v>120</v>
      </c>
      <c r="E14" s="17" t="n">
        <v>20</v>
      </c>
      <c r="F14" s="28" t="n">
        <v>0</v>
      </c>
      <c r="G14" s="17">
        <f>D14*(1-F14)</f>
        <v/>
      </c>
      <c r="H14" s="17">
        <f>IF(C14&gt;3.4,"High","Low")</f>
        <v/>
      </c>
      <c r="I14" s="17">
        <f>IF(F14&lt;0.3,"High","Low")</f>
        <v/>
      </c>
      <c r="J14" s="17">
        <f>IF(AND(H14="High",I14="High"),"⭐ Star",IF(AND(H14="High",I14="Low"),"🐴 Plow Horse",IF(AND(H14="Low",I14="High"),"❓ Puzzle","🐕 Dog")))</f>
        <v/>
      </c>
    </row>
    <row r="15" ht="15" customHeight="1" s="18">
      <c r="A15" s="17" t="inlineStr">
        <is>
          <t>Chawan Mushi</t>
        </is>
      </c>
      <c r="B15" s="17" t="inlineStr">
        <is>
          <t>Small Bites</t>
        </is>
      </c>
      <c r="C15" s="17" t="n">
        <v>4</v>
      </c>
      <c r="D15" s="17" t="n">
        <v>78</v>
      </c>
      <c r="E15" s="17" t="n">
        <v>16</v>
      </c>
      <c r="F15" s="28" t="n">
        <v>0</v>
      </c>
      <c r="G15" s="17">
        <f>D15*(1-F15)</f>
        <v/>
      </c>
      <c r="H15" s="17">
        <f>IF(C15&gt;3.4,"High","Low")</f>
        <v/>
      </c>
      <c r="I15" s="17">
        <f>IF(F15&lt;0.3,"High","Low")</f>
        <v/>
      </c>
      <c r="J15" s="17">
        <f>IF(AND(H15="High",I15="High"),"⭐ Star",IF(AND(H15="High",I15="Low"),"🐴 Plow Horse",IF(AND(H15="Low",I15="High"),"❓ Puzzle","🐕 Dog")))</f>
        <v/>
      </c>
    </row>
    <row r="16" ht="15" customHeight="1" s="18">
      <c r="A16" s="17" t="inlineStr">
        <is>
          <t>Iberico Belly Kushiyaki</t>
        </is>
      </c>
      <c r="B16" s="17" t="inlineStr">
        <is>
          <t>Grill Bar</t>
        </is>
      </c>
      <c r="C16" s="17" t="n">
        <v>4</v>
      </c>
      <c r="D16" s="17" t="n">
        <v>60</v>
      </c>
      <c r="E16" s="17" t="n">
        <v>15</v>
      </c>
      <c r="F16" s="28" t="n">
        <v>0</v>
      </c>
      <c r="G16" s="17">
        <f>D16*(1-F16)</f>
        <v/>
      </c>
      <c r="H16" s="17">
        <f>IF(C16&gt;3.4,"High","Low")</f>
        <v/>
      </c>
      <c r="I16" s="17">
        <f>IF(F16&lt;0.3,"High","Low")</f>
        <v/>
      </c>
      <c r="J16" s="17">
        <f>IF(AND(H16="High",I16="High"),"⭐ Star",IF(AND(H16="High",I16="Low"),"🐴 Plow Horse",IF(AND(H16="Low",I16="High"),"❓ Puzzle","🐕 Dog")))</f>
        <v/>
      </c>
    </row>
    <row r="17" ht="15" customHeight="1" s="18">
      <c r="A17" s="17" t="inlineStr">
        <is>
          <t>Buri Teri Don (Set)</t>
        </is>
      </c>
      <c r="B17" s="17" t="inlineStr">
        <is>
          <t>Oh My Don</t>
        </is>
      </c>
      <c r="C17" s="17" t="n">
        <v>3</v>
      </c>
      <c r="D17" s="17" t="n">
        <v>93</v>
      </c>
      <c r="E17" s="17" t="n">
        <v>31</v>
      </c>
      <c r="F17" s="28" t="n">
        <v>0</v>
      </c>
      <c r="G17" s="17">
        <f>D17*(1-F17)</f>
        <v/>
      </c>
      <c r="H17" s="17">
        <f>IF(C17&gt;3.4,"High","Low")</f>
        <v/>
      </c>
      <c r="I17" s="17">
        <f>IF(F17&lt;0.3,"High","Low")</f>
        <v/>
      </c>
      <c r="J17" s="17">
        <f>IF(AND(H17="High",I17="High"),"⭐ Star",IF(AND(H17="High",I17="Low"),"🐴 Plow Horse",IF(AND(H17="Low",I17="High"),"❓ Puzzle","🐕 Dog")))</f>
        <v/>
      </c>
    </row>
    <row r="18" ht="15" customHeight="1" s="18">
      <c r="A18" s="17" t="inlineStr">
        <is>
          <t>Edamame</t>
        </is>
      </c>
      <c r="B18" s="17" t="inlineStr">
        <is>
          <t>Small Bites</t>
        </is>
      </c>
      <c r="C18" s="17" t="n">
        <v>3</v>
      </c>
      <c r="D18" s="17" t="n">
        <v>36</v>
      </c>
      <c r="E18" s="17" t="n">
        <v>12</v>
      </c>
      <c r="F18" s="28" t="n">
        <v>0</v>
      </c>
      <c r="G18" s="17">
        <f>D18*(1-F18)</f>
        <v/>
      </c>
      <c r="H18" s="17">
        <f>IF(C18&gt;3.4,"High","Low")</f>
        <v/>
      </c>
      <c r="I18" s="17">
        <f>IF(F18&lt;0.3,"High","Low")</f>
        <v/>
      </c>
      <c r="J18" s="17">
        <f>IF(AND(H18="High",I18="High"),"⭐ Star",IF(AND(H18="High",I18="Low"),"🐴 Plow Horse",IF(AND(H18="Low",I18="High"),"❓ Puzzle","🐕 Dog")))</f>
        <v/>
      </c>
    </row>
    <row r="19" ht="15" customHeight="1" s="18">
      <c r="A19" s="17" t="inlineStr">
        <is>
          <t>Whisky Highball</t>
        </is>
      </c>
      <c r="B19" s="17" t="inlineStr">
        <is>
          <t>Beverages</t>
        </is>
      </c>
      <c r="C19" s="17" t="n">
        <v>3</v>
      </c>
      <c r="D19" s="17" t="n">
        <v>81</v>
      </c>
      <c r="E19" s="17" t="n">
        <v>27</v>
      </c>
      <c r="F19" s="28" t="n">
        <v>0</v>
      </c>
      <c r="G19" s="17">
        <f>D19*(1-F19)</f>
        <v/>
      </c>
      <c r="H19" s="17">
        <f>IF(C19&gt;3.4,"High","Low")</f>
        <v/>
      </c>
      <c r="I19" s="17">
        <f>IF(F19&lt;0.3,"High","Low")</f>
        <v/>
      </c>
      <c r="J19" s="17">
        <f>IF(AND(H19="High",I19="High"),"⭐ Star",IF(AND(H19="High",I19="Low"),"🐴 Plow Horse",IF(AND(H19="Low",I19="High"),"❓ Puzzle","🐕 Dog")))</f>
        <v/>
      </c>
    </row>
    <row r="20" ht="15" customHeight="1" s="18">
      <c r="A20" s="17" t="inlineStr">
        <is>
          <t>Voon's Chirashi</t>
        </is>
      </c>
      <c r="B20" s="17" t="inlineStr">
        <is>
          <t>Voon's Choice</t>
        </is>
      </c>
      <c r="C20" s="17" t="n">
        <v>2</v>
      </c>
      <c r="D20" s="17" t="n">
        <v>198</v>
      </c>
      <c r="E20" s="17" t="n">
        <v>99</v>
      </c>
      <c r="F20" s="28" t="n">
        <v>0</v>
      </c>
      <c r="G20" s="17">
        <f>D20*(1-F20)</f>
        <v/>
      </c>
      <c r="H20" s="17">
        <f>IF(C20&gt;3.4,"High","Low")</f>
        <v/>
      </c>
      <c r="I20" s="17">
        <f>IF(F20&lt;0.3,"High","Low")</f>
        <v/>
      </c>
      <c r="J20" s="17">
        <f>IF(AND(H20="High",I20="High"),"⭐ Star",IF(AND(H20="High",I20="Low"),"🐴 Plow Horse",IF(AND(H20="Low",I20="High"),"❓ Puzzle","🐕 Dog")))</f>
        <v/>
      </c>
    </row>
    <row r="21" ht="15" customHeight="1" s="18">
      <c r="A21" s="17" t="inlineStr">
        <is>
          <t>Kampachi Sashimi</t>
        </is>
      </c>
      <c r="B21" s="17" t="inlineStr">
        <is>
          <t>Sashimi Bar</t>
        </is>
      </c>
      <c r="C21" s="17" t="n">
        <v>2</v>
      </c>
      <c r="D21" s="17" t="n">
        <v>56</v>
      </c>
      <c r="E21" s="17" t="n">
        <v>28</v>
      </c>
      <c r="F21" s="28" t="n">
        <v>0</v>
      </c>
      <c r="G21" s="17">
        <f>D21*(1-F21)</f>
        <v/>
      </c>
      <c r="H21" s="17">
        <f>IF(C21&gt;3.4,"High","Low")</f>
        <v/>
      </c>
      <c r="I21" s="17">
        <f>IF(F21&lt;0.3,"High","Low")</f>
        <v/>
      </c>
      <c r="J21" s="17">
        <f>IF(AND(H21="High",I21="High"),"⭐ Star",IF(AND(H21="High",I21="Low"),"🐴 Plow Horse",IF(AND(H21="Low",I21="High"),"❓ Puzzle","🐕 Dog")))</f>
        <v/>
      </c>
    </row>
    <row r="22" ht="15" customHeight="1" s="18">
      <c r="A22" s="17" t="inlineStr">
        <is>
          <t>Tai Belly Sushi</t>
        </is>
      </c>
      <c r="B22" s="17" t="inlineStr">
        <is>
          <t>Sushi Bar</t>
        </is>
      </c>
      <c r="C22" s="17" t="n">
        <v>2</v>
      </c>
      <c r="D22" s="17" t="n">
        <v>60</v>
      </c>
      <c r="E22" s="17" t="n">
        <v>30</v>
      </c>
      <c r="F22" s="28" t="n">
        <v>0</v>
      </c>
      <c r="G22" s="17">
        <f>D22*(1-F22)</f>
        <v/>
      </c>
      <c r="H22" s="17">
        <f>IF(C22&gt;3.4,"High","Low")</f>
        <v/>
      </c>
      <c r="I22" s="17">
        <f>IF(F22&lt;0.3,"High","Low")</f>
        <v/>
      </c>
      <c r="J22" s="17">
        <f>IF(AND(H22="High",I22="High"),"⭐ Star",IF(AND(H22="High",I22="Low"),"🐴 Plow Horse",IF(AND(H22="Low",I22="High"),"❓ Puzzle","🐕 Dog")))</f>
        <v/>
      </c>
    </row>
    <row r="23" ht="15" customHeight="1" s="18">
      <c r="A23" s="17" t="inlineStr">
        <is>
          <t>Engawa Sushi</t>
        </is>
      </c>
      <c r="B23" s="17" t="inlineStr">
        <is>
          <t>Sushi Bar</t>
        </is>
      </c>
      <c r="C23" s="17" t="n">
        <v>2</v>
      </c>
      <c r="D23" s="17" t="n">
        <v>60</v>
      </c>
      <c r="E23" s="17" t="n">
        <v>30</v>
      </c>
      <c r="F23" s="28" t="n">
        <v>0</v>
      </c>
      <c r="G23" s="17">
        <f>D23*(1-F23)</f>
        <v/>
      </c>
      <c r="H23" s="17">
        <f>IF(C23&gt;3.4,"High","Low")</f>
        <v/>
      </c>
      <c r="I23" s="17">
        <f>IF(F23&lt;0.3,"High","Low")</f>
        <v/>
      </c>
      <c r="J23" s="17">
        <f>IF(AND(H23="High",I23="High"),"⭐ Star",IF(AND(H23="High",I23="Low"),"🐴 Plow Horse",IF(AND(H23="Low",I23="High"),"❓ Puzzle","🐕 Dog")))</f>
        <v/>
      </c>
    </row>
    <row r="24" ht="15" customHeight="1" s="18">
      <c r="A24" s="17" t="inlineStr">
        <is>
          <t>O-Toro Sashimi</t>
        </is>
      </c>
      <c r="B24" s="17" t="inlineStr">
        <is>
          <t>Sashimi Bar</t>
        </is>
      </c>
      <c r="C24" s="17" t="n">
        <v>2</v>
      </c>
      <c r="D24" s="17" t="n">
        <v>116</v>
      </c>
      <c r="E24" s="17" t="n">
        <v>58</v>
      </c>
      <c r="F24" s="28" t="n">
        <v>0</v>
      </c>
      <c r="G24" s="17">
        <f>D24*(1-F24)</f>
        <v/>
      </c>
      <c r="H24" s="17">
        <f>IF(C24&gt;3.4,"High","Low")</f>
        <v/>
      </c>
      <c r="I24" s="17">
        <f>IF(F24&lt;0.3,"High","Low")</f>
        <v/>
      </c>
      <c r="J24" s="17">
        <f>IF(AND(H24="High",I24="High"),"⭐ Star",IF(AND(H24="High",I24="Low"),"🐴 Plow Horse",IF(AND(H24="Low",I24="High"),"❓ Puzzle","🐕 Dog")))</f>
        <v/>
      </c>
    </row>
    <row r="25" ht="15" customHeight="1" s="18">
      <c r="A25" s="17" t="inlineStr">
        <is>
          <t>Hirame Sashimi</t>
        </is>
      </c>
      <c r="B25" s="17" t="inlineStr">
        <is>
          <t>Sashimi Bar</t>
        </is>
      </c>
      <c r="C25" s="17" t="n">
        <v>2</v>
      </c>
      <c r="D25" s="17" t="n">
        <v>56</v>
      </c>
      <c r="E25" s="17" t="n">
        <v>28</v>
      </c>
      <c r="F25" s="28" t="n">
        <v>0</v>
      </c>
      <c r="G25" s="17">
        <f>D25*(1-F25)</f>
        <v/>
      </c>
      <c r="H25" s="17">
        <f>IF(C25&gt;3.4,"High","Low")</f>
        <v/>
      </c>
      <c r="I25" s="17">
        <f>IF(F25&lt;0.3,"High","Low")</f>
        <v/>
      </c>
      <c r="J25" s="17">
        <f>IF(AND(H25="High",I25="High"),"⭐ Star",IF(AND(H25="High",I25="Low"),"🐴 Plow Horse",IF(AND(H25="Low",I25="High"),"❓ Puzzle","🐕 Dog")))</f>
        <v/>
      </c>
    </row>
    <row r="26" ht="15" customHeight="1" s="18">
      <c r="A26" s="17" t="inlineStr">
        <is>
          <t>Sashi Sushi (Set)</t>
        </is>
      </c>
      <c r="B26" s="17" t="inlineStr">
        <is>
          <t>Oh My Don</t>
        </is>
      </c>
      <c r="C26" s="17" t="n">
        <v>1</v>
      </c>
      <c r="D26" s="17" t="n">
        <v>39</v>
      </c>
      <c r="E26" s="17" t="n">
        <v>32</v>
      </c>
      <c r="F26" s="28" t="n">
        <v>0</v>
      </c>
      <c r="G26" s="17">
        <f>D26*(1-F26)</f>
        <v/>
      </c>
      <c r="H26" s="17">
        <f>IF(C26&gt;3.4,"High","Low")</f>
        <v/>
      </c>
      <c r="I26" s="17">
        <f>IF(F26&lt;0.3,"High","Low")</f>
        <v/>
      </c>
      <c r="J26" s="17">
        <f>IF(AND(H26="High",I26="High"),"⭐ Star",IF(AND(H26="High",I26="Low"),"🐴 Plow Horse",IF(AND(H26="Low",I26="High"),"❓ Puzzle","🐕 Dog")))</f>
        <v/>
      </c>
    </row>
    <row r="27" ht="15" customHeight="1" s="18">
      <c r="A27" s="17" t="inlineStr">
        <is>
          <t>Sake Salad</t>
        </is>
      </c>
      <c r="B27" s="17" t="inlineStr">
        <is>
          <t>Sashimi Bar</t>
        </is>
      </c>
      <c r="C27" s="17" t="n">
        <v>1</v>
      </c>
      <c r="D27" s="17" t="n">
        <v>35</v>
      </c>
      <c r="E27" s="17" t="n">
        <v>35</v>
      </c>
      <c r="F27" s="28" t="n">
        <v>0</v>
      </c>
      <c r="G27" s="17">
        <f>D27*(1-F27)</f>
        <v/>
      </c>
      <c r="H27" s="17">
        <f>IF(C27&gt;3.4,"High","Low")</f>
        <v/>
      </c>
      <c r="I27" s="17">
        <f>IF(F27&lt;0.3,"High","Low")</f>
        <v/>
      </c>
      <c r="J27" s="17">
        <f>IF(AND(H27="High",I27="High"),"⭐ Star",IF(AND(H27="High",I27="Low"),"🐴 Plow Horse",IF(AND(H27="Low",I27="High"),"❓ Puzzle","🐕 Dog")))</f>
        <v/>
      </c>
    </row>
    <row r="28" ht="15" customHeight="1" s="18">
      <c r="A28" s="17" t="inlineStr">
        <is>
          <t>Miso Soup</t>
        </is>
      </c>
      <c r="B28" s="17" t="inlineStr">
        <is>
          <t>Small Bites</t>
        </is>
      </c>
      <c r="C28" s="17" t="n">
        <v>1</v>
      </c>
      <c r="D28" s="17" t="n">
        <v>5</v>
      </c>
      <c r="E28" s="17" t="n">
        <v>5</v>
      </c>
      <c r="F28" s="28" t="n">
        <v>0</v>
      </c>
      <c r="G28" s="17">
        <f>D28*(1-F28)</f>
        <v/>
      </c>
      <c r="H28" s="17">
        <f>IF(C28&gt;3.4,"High","Low")</f>
        <v/>
      </c>
      <c r="I28" s="17">
        <f>IF(F28&lt;0.3,"High","Low")</f>
        <v/>
      </c>
      <c r="J28" s="17">
        <f>IF(AND(H28="High",I28="High"),"⭐ Star",IF(AND(H28="High",I28="Low"),"🐴 Plow Horse",IF(AND(H28="Low",I28="High"),"❓ Puzzle","🐕 Dog")))</f>
        <v/>
      </c>
    </row>
    <row r="29" ht="15" customHeight="1" s="18">
      <c r="A29" s="17" t="inlineStr">
        <is>
          <t>Iberico Katsu Curry Don</t>
        </is>
      </c>
      <c r="B29" s="17" t="inlineStr">
        <is>
          <t>To Finish Off</t>
        </is>
      </c>
      <c r="C29" s="17" t="n">
        <v>1</v>
      </c>
      <c r="D29" s="17" t="n">
        <v>45</v>
      </c>
      <c r="E29" s="17" t="n">
        <v>45</v>
      </c>
      <c r="F29" s="28" t="n">
        <v>0</v>
      </c>
      <c r="G29" s="17">
        <f>D29*(1-F29)</f>
        <v/>
      </c>
      <c r="H29" s="17">
        <f>IF(C29&gt;3.4,"High","Low")</f>
        <v/>
      </c>
      <c r="I29" s="17">
        <f>IF(F29&lt;0.3,"High","Low")</f>
        <v/>
      </c>
      <c r="J29" s="17">
        <f>IF(AND(H29="High",I29="High"),"⭐ Star",IF(AND(H29="High",I29="Low"),"🐴 Plow Horse",IF(AND(H29="Low",I29="High"),"❓ Puzzle","🐕 Dog")))</f>
        <v/>
      </c>
    </row>
    <row r="30" ht="15" customHeight="1" s="18">
      <c r="A30" s="17" t="inlineStr">
        <is>
          <t>Kinme Prosperity "Yee Sang"</t>
        </is>
      </c>
      <c r="B30" s="17" t="inlineStr">
        <is>
          <t>Seasonal</t>
        </is>
      </c>
      <c r="C30" s="17" t="n">
        <v>1</v>
      </c>
      <c r="D30" s="17" t="n">
        <v>168</v>
      </c>
      <c r="E30" s="17" t="n">
        <v>0</v>
      </c>
      <c r="F30" s="28" t="n">
        <v>0</v>
      </c>
      <c r="G30" s="17">
        <f>D30*(1-F30)</f>
        <v/>
      </c>
      <c r="H30" s="17">
        <f>IF(C30&gt;3.4,"High","Low")</f>
        <v/>
      </c>
      <c r="I30" s="17">
        <f>IF(F30&lt;0.3,"High","Low")</f>
        <v/>
      </c>
      <c r="J30" s="17">
        <f>IF(AND(H30="High",I30="High"),"⭐ Star",IF(AND(H30="High",I30="Low"),"🐴 Plow Horse",IF(AND(H30="Low",I30="High"),"❓ Puzzle","🐕 Dog")))</f>
        <v/>
      </c>
    </row>
    <row r="31" ht="15" customHeight="1" s="18">
      <c r="A31" s="17" t="inlineStr">
        <is>
          <t>Bara-Bara Don (Set)</t>
        </is>
      </c>
      <c r="B31" s="17" t="inlineStr">
        <is>
          <t>Oh My Don</t>
        </is>
      </c>
      <c r="C31" s="17" t="n">
        <v>1</v>
      </c>
      <c r="D31" s="17" t="n">
        <v>28</v>
      </c>
      <c r="E31" s="17" t="n">
        <v>28</v>
      </c>
      <c r="F31" s="28" t="n">
        <v>0</v>
      </c>
      <c r="G31" s="17">
        <f>D31*(1-F31)</f>
        <v/>
      </c>
      <c r="H31" s="17">
        <f>IF(C31&gt;3.4,"High","Low")</f>
        <v/>
      </c>
      <c r="I31" s="17">
        <f>IF(F31&lt;0.3,"High","Low")</f>
        <v/>
      </c>
      <c r="J31" s="17">
        <f>IF(AND(H31="High",I31="High"),"⭐ Star",IF(AND(H31="High",I31="Low"),"🐴 Plow Horse",IF(AND(H31="Low",I31="High"),"❓ Puzzle","🐕 Dog")))</f>
        <v/>
      </c>
    </row>
    <row r="32" ht="15" customHeight="1" s="18">
      <c r="A32" s="17" t="inlineStr">
        <is>
          <t>Japan Shishito</t>
        </is>
      </c>
      <c r="B32" s="17" t="inlineStr">
        <is>
          <t>Grill Bar</t>
        </is>
      </c>
      <c r="C32" s="17" t="n">
        <v>1</v>
      </c>
      <c r="D32" s="17" t="n">
        <v>18</v>
      </c>
      <c r="E32" s="17" t="n">
        <v>18</v>
      </c>
      <c r="F32" s="28" t="n">
        <v>0</v>
      </c>
      <c r="G32" s="17">
        <f>D32*(1-F32)</f>
        <v/>
      </c>
      <c r="H32" s="17">
        <f>IF(C32&gt;3.4,"High","Low")</f>
        <v/>
      </c>
      <c r="I32" s="17">
        <f>IF(F32&lt;0.3,"High","Low")</f>
        <v/>
      </c>
      <c r="J32" s="17">
        <f>IF(AND(H32="High",I32="High"),"⭐ Star",IF(AND(H32="High",I32="Low"),"🐴 Plow Horse",IF(AND(H32="Low",I32="High"),"❓ Puzzle","🐕 Dog")))</f>
        <v/>
      </c>
    </row>
    <row r="33" ht="15" customHeight="1" s="18">
      <c r="A33" s="17" t="inlineStr">
        <is>
          <t>Hamachi Kama</t>
        </is>
      </c>
      <c r="B33" s="17" t="inlineStr">
        <is>
          <t>Grill Bar</t>
        </is>
      </c>
      <c r="C33" s="17" t="n">
        <v>1</v>
      </c>
      <c r="D33" s="17" t="n">
        <v>108</v>
      </c>
      <c r="E33" s="17" t="n">
        <v>18</v>
      </c>
      <c r="F33" s="28" t="n">
        <v>0</v>
      </c>
      <c r="G33" s="17">
        <f>D33*(1-F33)</f>
        <v/>
      </c>
      <c r="H33" s="17">
        <f>IF(C33&gt;3.4,"High","Low")</f>
        <v/>
      </c>
      <c r="I33" s="17">
        <f>IF(F33&lt;0.3,"High","Low")</f>
        <v/>
      </c>
      <c r="J33" s="17">
        <f>IF(AND(H33="High",I33="High"),"⭐ Star",IF(AND(H33="High",I33="Low"),"🐴 Plow Horse",IF(AND(H33="Low",I33="High"),"❓ Puzzle","🐕 Dog")))</f>
        <v/>
      </c>
    </row>
    <row r="34" ht="15" customHeight="1" s="18">
      <c r="A34" s="17" t="inlineStr">
        <is>
          <t>More Rice Please !</t>
        </is>
      </c>
      <c r="B34" s="17" t="inlineStr">
        <is>
          <t>Small Bites</t>
        </is>
      </c>
      <c r="C34" s="17" t="n">
        <v>1</v>
      </c>
      <c r="D34" s="17" t="n">
        <v>2</v>
      </c>
      <c r="E34" s="17" t="n">
        <v>2</v>
      </c>
      <c r="F34" s="28" t="n">
        <v>0</v>
      </c>
      <c r="G34" s="17">
        <f>D34*(1-F34)</f>
        <v/>
      </c>
      <c r="H34" s="17">
        <f>IF(C34&gt;3.4,"High","Low")</f>
        <v/>
      </c>
      <c r="I34" s="17">
        <f>IF(F34&lt;0.3,"High","Low")</f>
        <v/>
      </c>
      <c r="J34" s="17">
        <f>IF(AND(H34="High",I34="High"),"⭐ Star",IF(AND(H34="High",I34="Low"),"🐴 Plow Horse",IF(AND(H34="Low",I34="High"),"❓ Puzzle","🐕 Dog")))</f>
        <v/>
      </c>
    </row>
    <row r="35" ht="15" customHeight="1" s="18">
      <c r="A35" s="17" t="inlineStr">
        <is>
          <t>Cold Soba</t>
        </is>
      </c>
      <c r="B35" s="17" t="inlineStr">
        <is>
          <t>To Finish Off</t>
        </is>
      </c>
      <c r="C35" s="17" t="n">
        <v>1</v>
      </c>
      <c r="D35" s="17" t="n">
        <v>25</v>
      </c>
      <c r="E35" s="17" t="n">
        <v>25</v>
      </c>
      <c r="F35" s="28" t="n">
        <v>0</v>
      </c>
      <c r="G35" s="17">
        <f>D35*(1-F35)</f>
        <v/>
      </c>
      <c r="H35" s="17">
        <f>IF(C35&gt;3.4,"High","Low")</f>
        <v/>
      </c>
      <c r="I35" s="17">
        <f>IF(F35&lt;0.3,"High","Low")</f>
        <v/>
      </c>
      <c r="J35" s="17">
        <f>IF(AND(H35="High",I35="High"),"⭐ Star",IF(AND(H35="High",I35="Low"),"🐴 Plow Horse",IF(AND(H35="Low",I35="High"),"❓ Puzzle","🐕 Dog")))</f>
        <v/>
      </c>
    </row>
    <row r="36" ht="15" customHeight="1" s="18">
      <c r="A36" s="17" t="inlineStr">
        <is>
          <t>Iberico Katsu Curry Don (Set)</t>
        </is>
      </c>
      <c r="B36" s="17" t="inlineStr">
        <is>
          <t>Oh My Don</t>
        </is>
      </c>
      <c r="C36" s="17" t="n">
        <v>1</v>
      </c>
      <c r="D36" s="17" t="n">
        <v>35</v>
      </c>
      <c r="E36" s="17" t="n">
        <v>35</v>
      </c>
      <c r="F36" s="28" t="n">
        <v>0</v>
      </c>
      <c r="G36" s="17">
        <f>D36*(1-F36)</f>
        <v/>
      </c>
      <c r="H36" s="17">
        <f>IF(C36&gt;3.4,"High","Low")</f>
        <v/>
      </c>
      <c r="I36" s="17">
        <f>IF(F36&lt;0.3,"High","Low")</f>
        <v/>
      </c>
      <c r="J36" s="17">
        <f>IF(AND(H36="High",I36="High"),"⭐ Star",IF(AND(H36="High",I36="Low"),"🐴 Plow Horse",IF(AND(H36="Low",I36="High"),"❓ Puzzle","🐕 Dog")))</f>
        <v/>
      </c>
    </row>
    <row r="37" ht="15" customHeight="1" s="18">
      <c r="A37" s="17" t="inlineStr">
        <is>
          <t>Saba Don (Set)</t>
        </is>
      </c>
      <c r="B37" s="17" t="inlineStr">
        <is>
          <t>Oh My Don</t>
        </is>
      </c>
      <c r="C37" s="17" t="n">
        <v>1</v>
      </c>
      <c r="D37" s="17" t="n">
        <v>25</v>
      </c>
      <c r="E37" s="17" t="n">
        <v>25</v>
      </c>
      <c r="F37" s="28" t="n">
        <v>0</v>
      </c>
      <c r="G37" s="17">
        <f>D37*(1-F37)</f>
        <v/>
      </c>
      <c r="H37" s="17">
        <f>IF(C37&gt;3.4,"High","Low")</f>
        <v/>
      </c>
      <c r="I37" s="17">
        <f>IF(F37&lt;0.3,"High","Low")</f>
        <v/>
      </c>
      <c r="J37" s="17">
        <f>IF(AND(H37="High",I37="High"),"⭐ Star",IF(AND(H37="High",I37="Low"),"🐴 Plow Horse",IF(AND(H37="Low",I37="High"),"❓ Puzzle","🐕 Dog")))</f>
        <v/>
      </c>
    </row>
    <row r="38" ht="15" customHeight="1" s="18">
      <c r="A38" s="17" t="inlineStr">
        <is>
          <t>Ice Cream - Matcha</t>
        </is>
      </c>
      <c r="B38" s="17" t="inlineStr">
        <is>
          <t>Small Bites</t>
        </is>
      </c>
      <c r="C38" s="17" t="n">
        <v>1</v>
      </c>
      <c r="D38" s="17" t="n">
        <v>18</v>
      </c>
      <c r="E38" s="17" t="n">
        <v>18</v>
      </c>
      <c r="F38" s="28" t="n">
        <v>0</v>
      </c>
      <c r="G38" s="17">
        <f>D38*(1-F38)</f>
        <v/>
      </c>
      <c r="H38" s="17">
        <f>IF(C38&gt;3.4,"High","Low")</f>
        <v/>
      </c>
      <c r="I38" s="17">
        <f>IF(F38&lt;0.3,"High","Low")</f>
        <v/>
      </c>
      <c r="J38" s="17">
        <f>IF(AND(H38="High",I38="High"),"⭐ Star",IF(AND(H38="High",I38="Low"),"🐴 Plow Horse",IF(AND(H38="Low",I38="High"),"❓ Puzzle","🐕 Dog")))</f>
        <v/>
      </c>
    </row>
    <row r="39" ht="15" customHeight="1" s="18">
      <c r="A39" s="17" t="inlineStr">
        <is>
          <t>Taraba Gani</t>
        </is>
      </c>
      <c r="B39" s="17" t="inlineStr">
        <is>
          <t>Seasonal</t>
        </is>
      </c>
      <c r="C39" s="17" t="n">
        <v>1</v>
      </c>
      <c r="D39" s="17" t="n">
        <v>1200</v>
      </c>
      <c r="E39" s="17" t="n">
        <v>120</v>
      </c>
      <c r="F39" s="28" t="n">
        <v>0</v>
      </c>
      <c r="G39" s="17">
        <f>D39*(1-F39)</f>
        <v/>
      </c>
      <c r="H39" s="17">
        <f>IF(C39&gt;3.4,"High","Low")</f>
        <v/>
      </c>
      <c r="I39" s="17">
        <f>IF(F39&lt;0.3,"High","Low")</f>
        <v/>
      </c>
      <c r="J39" s="17">
        <f>IF(AND(H39="High",I39="High"),"⭐ Star",IF(AND(H39="High",I39="Low"),"🐴 Plow Horse",IF(AND(H39="Low",I39="High"),"❓ Puzzle","🐕 Dog")))</f>
        <v/>
      </c>
    </row>
    <row r="40" ht="15" customHeight="1" s="18">
      <c r="A40" s="17" t="inlineStr">
        <is>
          <t>Ama-Ebi Sashimi</t>
        </is>
      </c>
      <c r="B40" s="17" t="inlineStr">
        <is>
          <t>Sashimi Bar</t>
        </is>
      </c>
      <c r="C40" s="17" t="n">
        <v>1</v>
      </c>
      <c r="D40" s="17" t="n">
        <v>28</v>
      </c>
      <c r="E40" s="17" t="n">
        <v>28</v>
      </c>
      <c r="F40" s="28" t="n">
        <v>0</v>
      </c>
      <c r="G40" s="17">
        <f>D40*(1-F40)</f>
        <v/>
      </c>
      <c r="H40" s="17">
        <f>IF(C40&gt;3.4,"High","Low")</f>
        <v/>
      </c>
      <c r="I40" s="17">
        <f>IF(F40&lt;0.3,"High","Low")</f>
        <v/>
      </c>
      <c r="J40" s="17">
        <f>IF(AND(H40="High",I40="High"),"⭐ Star",IF(AND(H40="High",I40="Low"),"🐴 Plow Horse",IF(AND(H40="Low",I40="High"),"❓ Puzzle","🐕 Dog")))</f>
        <v/>
      </c>
    </row>
    <row r="41" ht="15" customHeight="1" s="18">
      <c r="A41" s="17" t="inlineStr">
        <is>
          <t>Ebi Tempura (4 pcs)</t>
        </is>
      </c>
      <c r="B41" s="17" t="inlineStr">
        <is>
          <t>Grill Bar</t>
        </is>
      </c>
      <c r="C41" s="17" t="n">
        <v>1</v>
      </c>
      <c r="D41" s="17" t="n">
        <v>52</v>
      </c>
      <c r="E41" s="17" t="n">
        <v>52</v>
      </c>
      <c r="F41" s="28" t="n">
        <v>0</v>
      </c>
      <c r="G41" s="17">
        <f>D41*(1-F41)</f>
        <v/>
      </c>
      <c r="H41" s="17">
        <f>IF(C41&gt;3.4,"High","Low")</f>
        <v/>
      </c>
      <c r="I41" s="17">
        <f>IF(F41&lt;0.3,"High","Low")</f>
        <v/>
      </c>
      <c r="J41" s="17">
        <f>IF(AND(H41="High",I41="High"),"⭐ Star",IF(AND(H41="High",I41="Low"),"🐴 Plow Horse",IF(AND(H41="Low",I41="High"),"❓ Puzzle","🐕 Dog")))</f>
        <v/>
      </c>
    </row>
    <row r="42" ht="15" customHeight="1" s="18">
      <c r="A42" s="17" t="inlineStr">
        <is>
          <t>Saba</t>
        </is>
      </c>
      <c r="B42" s="17" t="inlineStr">
        <is>
          <t>Grill Bar</t>
        </is>
      </c>
      <c r="C42" s="17" t="n">
        <v>1</v>
      </c>
      <c r="D42" s="17" t="n">
        <v>47.5</v>
      </c>
      <c r="E42" s="17" t="n">
        <v>19</v>
      </c>
      <c r="F42" s="28" t="n">
        <v>0</v>
      </c>
      <c r="G42" s="17">
        <f>D42*(1-F42)</f>
        <v/>
      </c>
      <c r="H42" s="17">
        <f>IF(C42&gt;3.4,"High","Low")</f>
        <v/>
      </c>
      <c r="I42" s="17">
        <f>IF(F42&lt;0.3,"High","Low")</f>
        <v/>
      </c>
      <c r="J42" s="17">
        <f>IF(AND(H42="High",I42="High"),"⭐ Star",IF(AND(H42="High",I42="Low"),"🐴 Plow Horse",IF(AND(H42="Low",I42="High"),"❓ Puzzle","🐕 Dog")))</f>
        <v/>
      </c>
    </row>
    <row r="44" ht="15" customHeight="1" s="18">
      <c r="A44" s="29" t="inlineStr">
        <is>
          <t>TOTAL</t>
        </is>
      </c>
      <c r="C44" s="17">
        <f>SUM(C6:C42)</f>
        <v/>
      </c>
      <c r="D44" s="17">
        <f>SUM(D6:D42)</f>
        <v/>
      </c>
    </row>
    <row r="46" ht="15" customHeight="1" s="18">
      <c r="A46" s="17" t="inlineStr">
        <is>
          <t>Target Food Cost %</t>
        </is>
      </c>
      <c r="B46" s="30" t="n">
        <v>0.3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5" customWidth="1" style="17" min="1" max="8"/>
    <col width="30" customWidth="1" style="17" min="9" max="9"/>
  </cols>
  <sheetData>
    <row r="1" ht="19.7" customHeight="1" s="18">
      <c r="A1" s="26" t="inlineStr">
        <is>
          <t>DAILY P&amp;L TRACKER</t>
        </is>
      </c>
    </row>
    <row r="3" ht="15" customHeight="1" s="18">
      <c r="A3" s="27" t="inlineStr">
        <is>
          <t>2026-01-02</t>
        </is>
      </c>
      <c r="B3" s="27" t="n">
        <v>5214</v>
      </c>
      <c r="C3" s="27" t="n">
        <v>66</v>
      </c>
      <c r="D3" s="27" t="n">
        <v>5171.74</v>
      </c>
      <c r="E3" s="27" t="n">
        <v>0</v>
      </c>
      <c r="F3" s="27" t="n">
        <v>0</v>
      </c>
      <c r="G3" s="27" t="n">
        <v>52</v>
      </c>
      <c r="H3" s="27" t="n">
        <v>100.27</v>
      </c>
      <c r="I3" s="27" t="inlineStr"/>
    </row>
    <row r="4" ht="15" customHeight="1" s="18">
      <c r="A4" s="17" t="inlineStr">
        <is>
          <t>2026-01-03</t>
        </is>
      </c>
      <c r="B4" s="17" t="n">
        <v>4063</v>
      </c>
      <c r="C4" s="17" t="n">
        <v>0</v>
      </c>
      <c r="D4" s="17" t="n">
        <v>4304.92</v>
      </c>
      <c r="E4" s="31" t="n">
        <v>0</v>
      </c>
      <c r="F4" s="23" t="n">
        <v>0</v>
      </c>
      <c r="G4" s="17" t="n">
        <v>31</v>
      </c>
      <c r="H4" s="17" t="n">
        <v>131.06</v>
      </c>
      <c r="I4" s="17" t="inlineStr"/>
    </row>
    <row r="5" ht="15" customHeight="1" s="18">
      <c r="A5" t="inlineStr">
        <is>
          <t>2026-01-04</t>
        </is>
      </c>
      <c r="B5" s="17" t="n">
        <v>4094.7</v>
      </c>
      <c r="C5" s="17" t="n">
        <v>5.6</v>
      </c>
      <c r="D5" s="17" t="n">
        <v>4327.94</v>
      </c>
      <c r="E5" s="17" t="n">
        <v>0</v>
      </c>
      <c r="F5" s="23" t="n">
        <v>0</v>
      </c>
      <c r="G5" t="n">
        <v>39</v>
      </c>
      <c r="H5" s="17" t="n">
        <v>104.99</v>
      </c>
      <c r="I5" t="inlineStr"/>
    </row>
    <row r="6" ht="15" customHeight="1" s="18">
      <c r="A6" t="inlineStr">
        <is>
          <t>2026-01-05</t>
        </is>
      </c>
      <c r="B6" s="17" t="n">
        <v>6938.6</v>
      </c>
      <c r="C6" s="17" t="n">
        <v>61</v>
      </c>
      <c r="D6" s="17" t="n">
        <v>7289.06</v>
      </c>
      <c r="E6" s="17" t="n">
        <v>0</v>
      </c>
      <c r="F6" s="23" t="n">
        <v>0</v>
      </c>
      <c r="G6" t="n">
        <v>69</v>
      </c>
      <c r="H6" s="17" t="n">
        <v>100.56</v>
      </c>
      <c r="I6" t="inlineStr"/>
    </row>
    <row r="7" ht="15" customHeight="1" s="18">
      <c r="A7" t="inlineStr">
        <is>
          <t>2026-01-06</t>
        </is>
      </c>
      <c r="B7" s="17" t="n">
        <v>4681.5</v>
      </c>
      <c r="C7" s="17" t="n">
        <v>62</v>
      </c>
      <c r="D7" s="17" t="n">
        <v>4884.79</v>
      </c>
      <c r="E7" s="17" t="n">
        <v>0</v>
      </c>
      <c r="F7" s="23" t="n">
        <v>0</v>
      </c>
      <c r="G7" t="n">
        <v>53</v>
      </c>
      <c r="H7" s="17" t="n">
        <v>88.33</v>
      </c>
      <c r="I7" t="inlineStr"/>
    </row>
    <row r="8" ht="15" customHeight="1" s="18">
      <c r="A8" t="inlineStr">
        <is>
          <t>2026-01-07</t>
        </is>
      </c>
      <c r="B8" s="17" t="n">
        <v>4006.5</v>
      </c>
      <c r="C8" s="17" t="n">
        <v>95</v>
      </c>
      <c r="D8" s="17" t="n">
        <v>4135.03</v>
      </c>
      <c r="E8" s="17" t="n">
        <v>0</v>
      </c>
      <c r="F8" s="23" t="n">
        <v>0</v>
      </c>
      <c r="G8" t="n">
        <v>46</v>
      </c>
      <c r="H8" s="17" t="n">
        <v>87.09999999999999</v>
      </c>
      <c r="I8" t="inlineStr"/>
    </row>
    <row r="9" ht="15" customHeight="1" s="18">
      <c r="A9" t="inlineStr">
        <is>
          <t>2026-01-08</t>
        </is>
      </c>
      <c r="B9" s="17" t="n">
        <v>8814</v>
      </c>
      <c r="C9" s="17" t="n">
        <v>26</v>
      </c>
      <c r="D9" s="17" t="n">
        <v>9274.24</v>
      </c>
      <c r="E9" s="17" t="n">
        <v>0</v>
      </c>
      <c r="F9" s="23" t="n">
        <v>0</v>
      </c>
      <c r="G9" t="n">
        <v>63</v>
      </c>
      <c r="H9" s="17" t="n">
        <v>139.9</v>
      </c>
      <c r="I9" t="inlineStr"/>
    </row>
    <row r="10" ht="15" customHeight="1" s="18">
      <c r="A10" t="inlineStr">
        <is>
          <t>2026-01-09</t>
        </is>
      </c>
      <c r="B10" s="17" t="n">
        <v>5815.3</v>
      </c>
      <c r="C10" s="17" t="n">
        <v>20</v>
      </c>
      <c r="D10" s="17" t="n">
        <v>6133.42</v>
      </c>
      <c r="E10" s="17" t="n">
        <v>0</v>
      </c>
      <c r="F10" s="23" t="n">
        <v>0</v>
      </c>
      <c r="G10" t="n">
        <v>50</v>
      </c>
      <c r="H10" s="17" t="n">
        <v>116.31</v>
      </c>
      <c r="I10" t="inlineStr"/>
    </row>
    <row r="11" ht="15" customHeight="1" s="18">
      <c r="A11" t="inlineStr">
        <is>
          <t>2026-01-10</t>
        </is>
      </c>
      <c r="B11" s="17" t="n">
        <v>5386.2</v>
      </c>
      <c r="C11" s="17" t="n">
        <v>6.6</v>
      </c>
      <c r="D11" s="17" t="n">
        <v>5691.51</v>
      </c>
      <c r="E11" s="17" t="n">
        <v>0</v>
      </c>
      <c r="F11" s="23" t="n">
        <v>0</v>
      </c>
      <c r="G11" t="n">
        <v>41</v>
      </c>
      <c r="H11" s="17" t="n">
        <v>131.37</v>
      </c>
      <c r="I11" t="inlineStr"/>
    </row>
    <row r="12" ht="15" customHeight="1" s="18">
      <c r="A12" t="inlineStr">
        <is>
          <t>2026-01-11</t>
        </is>
      </c>
      <c r="B12" s="17" t="n">
        <v>5060.2</v>
      </c>
      <c r="C12" s="17" t="n">
        <v>9</v>
      </c>
      <c r="D12" s="17" t="n">
        <v>5296.55</v>
      </c>
      <c r="E12" s="17" t="n">
        <v>0</v>
      </c>
      <c r="F12" s="23" t="n">
        <v>0</v>
      </c>
      <c r="G12" t="n">
        <v>47</v>
      </c>
      <c r="H12" s="17" t="n">
        <v>107.66</v>
      </c>
      <c r="I12" t="inlineStr"/>
    </row>
    <row r="13" ht="15" customHeight="1" s="18">
      <c r="A13" t="inlineStr">
        <is>
          <t>2026-01-12</t>
        </is>
      </c>
      <c r="B13" s="17" t="n">
        <v>9349.9</v>
      </c>
      <c r="C13" s="17" t="n">
        <v>0</v>
      </c>
      <c r="D13" s="17" t="n">
        <v>9883.959999999999</v>
      </c>
      <c r="E13" s="17" t="n">
        <v>0</v>
      </c>
      <c r="F13" s="23" t="n">
        <v>0</v>
      </c>
      <c r="G13" t="n">
        <v>73</v>
      </c>
      <c r="H13" s="17" t="n">
        <v>128.08</v>
      </c>
      <c r="I13" t="inlineStr"/>
    </row>
    <row r="14" ht="15" customHeight="1" s="18">
      <c r="A14" t="inlineStr">
        <is>
          <t>2026-01-13</t>
        </is>
      </c>
      <c r="B14" s="17" t="n">
        <v>2373.5</v>
      </c>
      <c r="C14" s="17" t="n">
        <v>61</v>
      </c>
      <c r="D14" s="17" t="n">
        <v>2448.01</v>
      </c>
      <c r="E14" s="17" t="n">
        <v>0</v>
      </c>
      <c r="F14" s="23" t="n">
        <v>0</v>
      </c>
      <c r="G14" t="n">
        <v>31</v>
      </c>
      <c r="H14" s="17" t="n">
        <v>76.56</v>
      </c>
      <c r="I14" t="inlineStr"/>
    </row>
    <row r="15" ht="15" customHeight="1" s="18">
      <c r="A15" t="inlineStr">
        <is>
          <t>2026-01-14</t>
        </is>
      </c>
      <c r="B15" s="17" t="n">
        <v>9789</v>
      </c>
      <c r="C15" s="17" t="n">
        <v>52</v>
      </c>
      <c r="D15" s="17" t="n">
        <v>10180.82</v>
      </c>
      <c r="E15" s="17" t="n">
        <v>0</v>
      </c>
      <c r="F15" s="23" t="n">
        <v>0</v>
      </c>
      <c r="G15" t="n">
        <v>80</v>
      </c>
      <c r="H15" s="17" t="n">
        <v>122.36</v>
      </c>
      <c r="I15" t="inlineStr"/>
    </row>
    <row r="16" ht="15" customHeight="1" s="18">
      <c r="A16" t="inlineStr">
        <is>
          <t>2026-01-15</t>
        </is>
      </c>
      <c r="B16" s="17" t="n">
        <v>12519.1</v>
      </c>
      <c r="C16" s="17" t="n">
        <v>31.8</v>
      </c>
      <c r="D16" s="17" t="n">
        <v>9948.690000000001</v>
      </c>
      <c r="E16" s="17" t="n">
        <v>0</v>
      </c>
      <c r="F16" s="23" t="n">
        <v>0</v>
      </c>
      <c r="G16" t="n">
        <v>70</v>
      </c>
      <c r="H16" s="17" t="n">
        <v>178.84</v>
      </c>
      <c r="I16" t="inlineStr"/>
    </row>
    <row r="17" ht="15" customHeight="1" s="18">
      <c r="A17" t="inlineStr">
        <is>
          <t>2026-01-16</t>
        </is>
      </c>
      <c r="B17" s="17" t="n">
        <v>7205.3</v>
      </c>
      <c r="C17" s="17" t="n">
        <v>0</v>
      </c>
      <c r="D17" s="17" t="n">
        <v>7615.48</v>
      </c>
      <c r="E17" s="17" t="n">
        <v>0</v>
      </c>
      <c r="F17" s="23" t="n">
        <v>0</v>
      </c>
      <c r="G17" t="n">
        <v>74</v>
      </c>
      <c r="H17" s="17" t="n">
        <v>97.37</v>
      </c>
      <c r="I17" t="inlineStr"/>
    </row>
    <row r="18" ht="15" customHeight="1" s="18">
      <c r="A18" t="inlineStr">
        <is>
          <t>2026-01-17</t>
        </is>
      </c>
      <c r="B18" s="17" t="n">
        <v>8811.4</v>
      </c>
      <c r="C18" s="17" t="n">
        <v>655.25</v>
      </c>
      <c r="D18" s="17" t="n">
        <v>8608.799999999999</v>
      </c>
      <c r="E18" s="17" t="n">
        <v>0</v>
      </c>
      <c r="F18" s="23" t="n">
        <v>0</v>
      </c>
      <c r="G18" t="n">
        <v>77</v>
      </c>
      <c r="H18" s="17" t="n">
        <v>114.43</v>
      </c>
      <c r="I18" t="inlineStr">
        <is>
          <t>Moderate discounts (6.9%)</t>
        </is>
      </c>
    </row>
    <row r="19" ht="15" customHeight="1" s="18">
      <c r="A19" t="inlineStr">
        <is>
          <t>2026-01-18</t>
        </is>
      </c>
      <c r="B19" s="17" t="n">
        <v>4153.5</v>
      </c>
      <c r="C19" s="17" t="n">
        <v>5.6</v>
      </c>
      <c r="D19" s="17" t="n">
        <v>4244.57</v>
      </c>
      <c r="E19" s="17" t="n">
        <v>0</v>
      </c>
      <c r="F19" s="23" t="n">
        <v>0</v>
      </c>
      <c r="G19" t="n">
        <v>44</v>
      </c>
      <c r="H19" s="17" t="n">
        <v>94.40000000000001</v>
      </c>
      <c r="I19" t="inlineStr"/>
    </row>
    <row r="20" ht="15" customHeight="1" s="18">
      <c r="A20" t="inlineStr">
        <is>
          <t>2026-01-19</t>
        </is>
      </c>
      <c r="B20" s="17" t="n">
        <v>3658.5</v>
      </c>
      <c r="C20" s="17" t="n">
        <v>81.2</v>
      </c>
      <c r="D20" s="17" t="n">
        <v>3753.78</v>
      </c>
      <c r="E20" s="17" t="n">
        <v>0</v>
      </c>
      <c r="F20" s="23" t="n">
        <v>0</v>
      </c>
      <c r="G20" t="n">
        <v>30</v>
      </c>
      <c r="H20" s="17" t="n">
        <v>121.95</v>
      </c>
      <c r="I20" t="inlineStr"/>
    </row>
    <row r="21" ht="15" customHeight="1" s="18">
      <c r="A21" t="inlineStr">
        <is>
          <t>2026-01-20</t>
        </is>
      </c>
      <c r="B21" s="17" t="n">
        <v>4151.6</v>
      </c>
      <c r="C21" s="17" t="n">
        <v>342.5</v>
      </c>
      <c r="D21" s="17" t="n">
        <v>4035.3</v>
      </c>
      <c r="E21" s="17" t="n">
        <v>0</v>
      </c>
      <c r="F21" s="23" t="n">
        <v>0</v>
      </c>
      <c r="G21" t="n">
        <v>26</v>
      </c>
      <c r="H21" s="17" t="n">
        <v>159.68</v>
      </c>
      <c r="I21" t="inlineStr">
        <is>
          <t>Moderate discounts (7.6%)</t>
        </is>
      </c>
    </row>
    <row r="22" ht="15" customHeight="1" s="18">
      <c r="A22" t="inlineStr">
        <is>
          <t>2026-01-21</t>
        </is>
      </c>
      <c r="B22" s="17" t="n">
        <v>5883.8</v>
      </c>
      <c r="C22" s="17" t="n">
        <v>150.9</v>
      </c>
      <c r="D22" s="17" t="n">
        <v>6029.71</v>
      </c>
      <c r="E22" s="17" t="n">
        <v>0</v>
      </c>
      <c r="F22" s="23" t="n">
        <v>0</v>
      </c>
      <c r="G22" t="n">
        <v>58</v>
      </c>
      <c r="H22" s="17" t="n">
        <v>101.44</v>
      </c>
      <c r="I22" t="inlineStr"/>
    </row>
    <row r="23" ht="15" customHeight="1" s="18">
      <c r="A23" t="inlineStr">
        <is>
          <t>2026-01-22</t>
        </is>
      </c>
      <c r="B23" s="17" t="n">
        <v>1650.6</v>
      </c>
      <c r="C23" s="17" t="n">
        <v>16</v>
      </c>
      <c r="D23" s="17" t="n">
        <v>1719.74</v>
      </c>
      <c r="E23" s="17" t="n">
        <v>0</v>
      </c>
      <c r="F23" s="23" t="n">
        <v>0</v>
      </c>
      <c r="G23" t="n">
        <v>28</v>
      </c>
      <c r="H23" s="17" t="n">
        <v>58.95</v>
      </c>
      <c r="I23" t="inlineStr"/>
    </row>
    <row r="24" ht="15" customHeight="1" s="18">
      <c r="A24" t="inlineStr">
        <is>
          <t>2026-01-23</t>
        </is>
      </c>
      <c r="B24" s="17" t="n">
        <v>10526.6</v>
      </c>
      <c r="C24" s="17" t="n">
        <v>0</v>
      </c>
      <c r="D24" s="17" t="n">
        <v>11053.27</v>
      </c>
      <c r="E24" s="17" t="n">
        <v>0</v>
      </c>
      <c r="F24" s="23" t="n">
        <v>0</v>
      </c>
      <c r="G24" t="n">
        <v>82</v>
      </c>
      <c r="H24" s="17" t="n">
        <v>128.37</v>
      </c>
      <c r="I24" t="inlineStr"/>
    </row>
    <row r="25" ht="15" customHeight="1" s="18">
      <c r="A25" t="inlineStr">
        <is>
          <t>2026-01-24</t>
        </is>
      </c>
      <c r="B25" s="17" t="n">
        <v>6155.2</v>
      </c>
      <c r="C25" s="17" t="n">
        <v>97</v>
      </c>
      <c r="D25" s="17" t="n">
        <v>6392.53</v>
      </c>
      <c r="E25" s="17" t="n">
        <v>0</v>
      </c>
      <c r="F25" s="23" t="n">
        <v>0</v>
      </c>
      <c r="G25" t="n">
        <v>41</v>
      </c>
      <c r="H25" s="17" t="n">
        <v>150.13</v>
      </c>
      <c r="I25" t="inlineStr"/>
    </row>
    <row r="26" ht="15" customHeight="1" s="18">
      <c r="A26" t="inlineStr">
        <is>
          <t>2026-01-25</t>
        </is>
      </c>
      <c r="B26" s="17" t="n">
        <v>5472.4</v>
      </c>
      <c r="C26" s="17" t="n">
        <v>15.8</v>
      </c>
      <c r="D26" s="17" t="n">
        <v>5756.26</v>
      </c>
      <c r="E26" s="17" t="n">
        <v>0</v>
      </c>
      <c r="F26" s="23" t="n">
        <v>0</v>
      </c>
      <c r="G26" t="n">
        <v>45</v>
      </c>
      <c r="H26" s="17" t="n">
        <v>121.61</v>
      </c>
      <c r="I26" t="inlineStr"/>
    </row>
    <row r="27" ht="15" customHeight="1" s="18">
      <c r="A27" t="inlineStr">
        <is>
          <t>2026-01-26</t>
        </is>
      </c>
      <c r="B27" s="17" t="n">
        <v>5949.6</v>
      </c>
      <c r="C27" s="17" t="n">
        <v>482.15</v>
      </c>
      <c r="D27" s="17" t="n">
        <v>5678.18</v>
      </c>
      <c r="E27" s="17" t="n">
        <v>0</v>
      </c>
      <c r="F27" s="23" t="n">
        <v>0</v>
      </c>
      <c r="G27" t="n">
        <v>40</v>
      </c>
      <c r="H27" s="17" t="n">
        <v>148.74</v>
      </c>
      <c r="I27" t="inlineStr">
        <is>
          <t>Moderate discounts (7.5%)</t>
        </is>
      </c>
    </row>
    <row r="28" ht="15" customHeight="1" s="18">
      <c r="A28" t="inlineStr">
        <is>
          <t>2026-01-27</t>
        </is>
      </c>
      <c r="B28" s="17" t="n">
        <v>4344.2</v>
      </c>
      <c r="C28" s="17" t="n">
        <v>0</v>
      </c>
      <c r="D28" s="17" t="n">
        <v>4598.85</v>
      </c>
      <c r="E28" s="17" t="n">
        <v>0</v>
      </c>
      <c r="F28" s="23" t="n">
        <v>0</v>
      </c>
      <c r="G28" t="n">
        <v>64</v>
      </c>
      <c r="H28" s="17" t="n">
        <v>67.88</v>
      </c>
      <c r="I28" t="inlineStr"/>
    </row>
    <row r="29" ht="15" customHeight="1" s="18">
      <c r="A29" t="inlineStr">
        <is>
          <t>2026-01-28</t>
        </is>
      </c>
      <c r="B29" s="17" t="n">
        <v>3185.6</v>
      </c>
      <c r="C29" s="17" t="n">
        <v>23</v>
      </c>
      <c r="D29" s="17" t="n">
        <v>3343.24</v>
      </c>
      <c r="E29" s="17" t="n">
        <v>0</v>
      </c>
      <c r="F29" s="23" t="n">
        <v>0</v>
      </c>
      <c r="G29" t="n">
        <v>106</v>
      </c>
      <c r="H29" s="17" t="n">
        <v>30.05</v>
      </c>
      <c r="I29" t="inlineStr"/>
    </row>
    <row r="30" ht="15" customHeight="1" s="18">
      <c r="A30" t="inlineStr">
        <is>
          <t>2026-01-29</t>
        </is>
      </c>
      <c r="B30" s="17" t="n">
        <v>32349.5</v>
      </c>
      <c r="C30" s="17" t="n">
        <v>22.5</v>
      </c>
      <c r="D30" s="17" t="n">
        <v>33752.09</v>
      </c>
      <c r="E30" s="17" t="n">
        <v>0</v>
      </c>
      <c r="F30" s="23" t="n">
        <v>0</v>
      </c>
      <c r="G30" t="n">
        <v>86</v>
      </c>
      <c r="H30" s="17" t="n">
        <v>376.16</v>
      </c>
      <c r="I30" t="inlineStr"/>
    </row>
    <row r="31" ht="15" customHeight="1" s="18">
      <c r="A31" t="inlineStr">
        <is>
          <t>2026-01-30</t>
        </is>
      </c>
      <c r="B31" s="17" t="n">
        <v>13007.1</v>
      </c>
      <c r="C31" s="17" t="n">
        <v>244.8</v>
      </c>
      <c r="D31" s="17" t="n">
        <v>13403.65</v>
      </c>
      <c r="E31" s="17" t="n">
        <v>0</v>
      </c>
      <c r="F31" s="23" t="n">
        <v>0</v>
      </c>
      <c r="G31" t="n">
        <v>103</v>
      </c>
      <c r="H31" s="17" t="n">
        <v>126.28</v>
      </c>
      <c r="I31" t="inlineStr"/>
    </row>
    <row r="32" ht="15" customHeight="1" s="18">
      <c r="A32" t="inlineStr">
        <is>
          <t>2026-01-31</t>
        </is>
      </c>
      <c r="B32" s="17" t="n">
        <v>13040.5</v>
      </c>
      <c r="C32" s="17" t="n">
        <v>2782.63</v>
      </c>
      <c r="D32" s="17" t="n">
        <v>10873.34</v>
      </c>
      <c r="E32" s="17" t="n">
        <v>0</v>
      </c>
      <c r="F32" s="23" t="n">
        <v>0</v>
      </c>
      <c r="G32" t="n">
        <v>33</v>
      </c>
      <c r="H32" s="17" t="n">
        <v>395.17</v>
      </c>
      <c r="I32" t="inlineStr">
        <is>
          <t>High discounts (17.6%) - review</t>
        </is>
      </c>
    </row>
    <row r="33" ht="15" customHeight="1" s="18">
      <c r="B33" s="17" t="n"/>
      <c r="C33" s="17" t="n"/>
      <c r="D33" s="17" t="n"/>
      <c r="E33" s="17" t="n"/>
      <c r="F33" s="23" t="n"/>
      <c r="H33" s="17" t="n"/>
    </row>
    <row r="34" ht="15" customHeight="1" s="18">
      <c r="B34" s="17" t="n"/>
      <c r="C34" s="17" t="n"/>
      <c r="D34" s="17" t="n"/>
      <c r="E34" s="17" t="n"/>
      <c r="F34" s="23" t="n"/>
      <c r="H34" s="17" t="n"/>
    </row>
    <row r="35"/>
    <row r="36" ht="15" customHeight="1" s="18">
      <c r="A36" s="29" t="n"/>
      <c r="F36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7" min="1" max="1"/>
    <col width="12" customWidth="1" style="17" min="2" max="2"/>
    <col width="15" customWidth="1" style="17" min="3" max="4"/>
    <col width="18" customWidth="1" style="17" min="5" max="5"/>
  </cols>
  <sheetData>
    <row r="1" ht="19.7" customHeight="1" s="18">
      <c r="A1" s="26" t="inlineStr">
        <is>
          <t>SALES BY CATEGORY</t>
        </is>
      </c>
    </row>
    <row r="3" ht="15" customHeight="1" s="18">
      <c r="A3" s="33" t="inlineStr">
        <is>
          <t>Beverages</t>
        </is>
      </c>
      <c r="B3" s="33" t="n">
        <v>730</v>
      </c>
      <c r="C3" s="33" t="n">
        <v>25586</v>
      </c>
      <c r="D3" s="33" t="n">
        <v>364.78</v>
      </c>
      <c r="E3" s="33" t="n">
        <v>11.47</v>
      </c>
    </row>
    <row r="4" ht="15" customHeight="1" s="18">
      <c r="A4" s="17" t="inlineStr">
        <is>
          <t>Course Menu</t>
        </is>
      </c>
      <c r="B4" s="17" t="n">
        <v>53</v>
      </c>
      <c r="C4" s="17" t="n">
        <v>18962</v>
      </c>
      <c r="D4" s="17" t="n">
        <v>0</v>
      </c>
      <c r="E4" s="23" t="n">
        <v>8.5</v>
      </c>
    </row>
    <row r="5" ht="15" customHeight="1" s="18">
      <c r="A5" s="17" t="inlineStr">
        <is>
          <t>Customized Product</t>
        </is>
      </c>
      <c r="B5" s="17" t="n">
        <v>63</v>
      </c>
      <c r="C5" s="17" t="n">
        <v>7587</v>
      </c>
      <c r="D5" s="17" t="n">
        <v>1652.5</v>
      </c>
      <c r="E5" s="23" t="n">
        <v>3.4</v>
      </c>
    </row>
    <row r="6" ht="15" customHeight="1" s="18">
      <c r="A6" s="17" t="inlineStr">
        <is>
          <t>Grab Delivery</t>
        </is>
      </c>
      <c r="B6" s="17" t="n">
        <v>42</v>
      </c>
      <c r="C6" s="17" t="n">
        <v>2140</v>
      </c>
      <c r="D6" s="17" t="n">
        <v>0</v>
      </c>
      <c r="E6" s="23" t="n">
        <v>0.96</v>
      </c>
    </row>
    <row r="7" ht="15" customHeight="1" s="18">
      <c r="A7" s="17" t="inlineStr">
        <is>
          <t>Grill Bar</t>
        </is>
      </c>
      <c r="B7" s="17" t="n">
        <v>633</v>
      </c>
      <c r="C7" s="17" t="n">
        <v>27095.3</v>
      </c>
      <c r="D7" s="17" t="n">
        <v>285.32</v>
      </c>
      <c r="E7" s="23" t="n">
        <v>12.15</v>
      </c>
    </row>
    <row r="8" ht="15" customHeight="1" s="18">
      <c r="A8" s="17" t="inlineStr">
        <is>
          <t>Happy Hour RM50</t>
        </is>
      </c>
      <c r="B8" s="17" t="n">
        <v>153</v>
      </c>
      <c r="C8" s="17" t="n">
        <v>7650</v>
      </c>
      <c r="D8" s="17" t="n">
        <v>0</v>
      </c>
      <c r="E8" s="23" t="n">
        <v>3.43</v>
      </c>
    </row>
    <row r="9" ht="15" customHeight="1" s="18">
      <c r="A9" s="17" t="inlineStr">
        <is>
          <t>Miscellaneous</t>
        </is>
      </c>
      <c r="B9" s="17" t="n">
        <v>9</v>
      </c>
      <c r="C9" s="17" t="n">
        <v>459.1</v>
      </c>
      <c r="D9" s="17" t="n">
        <v>0</v>
      </c>
      <c r="E9" s="23" t="n">
        <v>0.21</v>
      </c>
    </row>
    <row r="10" ht="15" customHeight="1" s="18">
      <c r="A10" s="17" t="inlineStr">
        <is>
          <t>Nomihodai Happy Hour Drinks Free Flow (RM50++ &amp; minumum order any 2 food per pax) 6:30pm-8:30pm</t>
        </is>
      </c>
      <c r="B10" s="17" t="n">
        <v>810</v>
      </c>
      <c r="C10" s="17" t="n">
        <v>0</v>
      </c>
      <c r="D10" s="17" t="n">
        <v>0</v>
      </c>
      <c r="E10" s="23" t="n">
        <v>0</v>
      </c>
    </row>
    <row r="11" ht="15" customHeight="1" s="18">
      <c r="A11" s="17" t="inlineStr">
        <is>
          <t>Oh My Don</t>
        </is>
      </c>
      <c r="B11" s="17" t="n">
        <v>820</v>
      </c>
      <c r="C11" s="17" t="n">
        <v>25658</v>
      </c>
      <c r="D11" s="17" t="n">
        <v>42.4</v>
      </c>
      <c r="E11" s="23" t="n">
        <v>11.5</v>
      </c>
    </row>
    <row r="12" ht="15" customHeight="1" s="18">
      <c r="A12" s="17" t="inlineStr">
        <is>
          <t>Sashimi Bar</t>
        </is>
      </c>
      <c r="B12" s="17" t="n">
        <v>794</v>
      </c>
      <c r="C12" s="17" t="n">
        <v>23263</v>
      </c>
      <c r="D12" s="17" t="n">
        <v>1161.43</v>
      </c>
      <c r="E12" s="23" t="n">
        <v>10.43</v>
      </c>
    </row>
    <row r="13" ht="15" customHeight="1" s="18">
      <c r="A13" s="17" t="inlineStr">
        <is>
          <t>Seasonal</t>
        </is>
      </c>
      <c r="B13" s="17" t="n">
        <v>269</v>
      </c>
      <c r="C13" s="17" t="n">
        <v>30563</v>
      </c>
      <c r="D13" s="17" t="n">
        <v>1101.2</v>
      </c>
      <c r="E13" s="23" t="n">
        <v>13.7</v>
      </c>
    </row>
    <row r="14" ht="15" customHeight="1" s="18">
      <c r="A14" s="29" t="inlineStr">
        <is>
          <t>Small Bites</t>
        </is>
      </c>
      <c r="B14" s="17" t="n">
        <v>1130</v>
      </c>
      <c r="C14" s="17" t="n">
        <v>20666</v>
      </c>
      <c r="D14" s="17" t="n">
        <v>166.65</v>
      </c>
      <c r="E14" t="n">
        <v>9.26</v>
      </c>
    </row>
    <row r="15">
      <c r="A15" t="inlineStr">
        <is>
          <t>Sushi Bar</t>
        </is>
      </c>
      <c r="B15" t="n">
        <v>377</v>
      </c>
      <c r="C15" t="n">
        <v>14070</v>
      </c>
      <c r="D15" t="n">
        <v>618.12</v>
      </c>
      <c r="E15" t="n">
        <v>6.31</v>
      </c>
    </row>
    <row r="16">
      <c r="A16" t="inlineStr">
        <is>
          <t>To Finish Off</t>
        </is>
      </c>
      <c r="B16" t="n">
        <v>233</v>
      </c>
      <c r="C16" t="n">
        <v>6475</v>
      </c>
      <c r="D16" t="n">
        <v>18.42</v>
      </c>
      <c r="E16" t="n">
        <v>2.9</v>
      </c>
    </row>
    <row r="17">
      <c r="A17" t="inlineStr">
        <is>
          <t>Voon's Choice</t>
        </is>
      </c>
      <c r="B17" t="n">
        <v>128</v>
      </c>
      <c r="C17" t="n">
        <v>11272</v>
      </c>
      <c r="D17" t="n">
        <v>66.51000000000001</v>
      </c>
      <c r="E17" t="n">
        <v>5.05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0" customWidth="1" style="17" min="1" max="1"/>
    <col width="15" customWidth="1" style="17" min="2" max="2"/>
    <col width="12" customWidth="1" style="17" min="3" max="3"/>
    <col width="15" customWidth="1" style="17" min="4" max="4"/>
  </cols>
  <sheetData>
    <row r="1" ht="19.7" customHeight="1" s="18">
      <c r="A1" s="26" t="inlineStr">
        <is>
          <t>INVENTORY STATUS</t>
        </is>
      </c>
    </row>
    <row r="2" ht="15" customHeight="1" s="18">
      <c r="A2" s="17" t="inlineStr">
        <is>
          <t>Items with low/zero stock highlighted</t>
        </is>
      </c>
    </row>
    <row r="4" ht="15" customHeight="1" s="18">
      <c r="A4" s="33" t="inlineStr">
        <is>
          <t>Item</t>
        </is>
      </c>
      <c r="B4" s="33" t="inlineStr">
        <is>
          <t>Category</t>
        </is>
      </c>
      <c r="C4" s="33" t="inlineStr">
        <is>
          <t>Quantity</t>
        </is>
      </c>
      <c r="D4" s="33" t="inlineStr">
        <is>
          <t>Status</t>
        </is>
      </c>
    </row>
    <row r="5" ht="15" customHeight="1" s="18">
      <c r="A5" s="17" t="inlineStr">
        <is>
          <t>Horenso Goma-Ae (Drinking Bites)</t>
        </is>
      </c>
      <c r="B5" s="17" t="inlineStr">
        <is>
          <t>Small Bites</t>
        </is>
      </c>
      <c r="C5" s="17" t="n">
        <v>0</v>
      </c>
      <c r="D5" s="34">
        <f>IF(C5=0,"OUT OF STOCK",IF(C5&lt;3,"LOW","OK"))</f>
        <v/>
      </c>
    </row>
    <row r="6" ht="15" customHeight="1" s="18">
      <c r="A6" s="17" t="inlineStr">
        <is>
          <t>Iwate Youshoku Awabi</t>
        </is>
      </c>
      <c r="B6" s="17" t="inlineStr">
        <is>
          <t>Seasonal</t>
        </is>
      </c>
      <c r="C6" s="17" t="n">
        <v>0</v>
      </c>
      <c r="D6" s="34">
        <f>IF(C6=0,"OUT OF STOCK",IF(C6&lt;3,"LOW","OK"))</f>
        <v/>
      </c>
    </row>
    <row r="7" ht="15" customHeight="1" s="18">
      <c r="A7" s="17" t="inlineStr">
        <is>
          <t>Kinme Classic Umeshu 2020 - 5 liter (House Pour)</t>
        </is>
      </c>
      <c r="B7" s="17" t="inlineStr">
        <is>
          <t>Beverages</t>
        </is>
      </c>
      <c r="C7" s="17" t="n">
        <v>0</v>
      </c>
      <c r="D7" s="34">
        <f>IF(C7=0,"OUT OF STOCK",IF(C7&lt;3,"LOW","OK"))</f>
        <v/>
      </c>
    </row>
    <row r="8" ht="15" customHeight="1" s="18">
      <c r="A8" s="17" t="inlineStr">
        <is>
          <t>Sapporo Premium Beer - Can</t>
        </is>
      </c>
      <c r="B8" s="17" t="inlineStr">
        <is>
          <t>Beverages</t>
        </is>
      </c>
      <c r="C8" s="17" t="n">
        <v>0</v>
      </c>
      <c r="D8" s="34">
        <f>IF(C8=0,"OUT OF STOCK",IF(C8&lt;3,"LOW","OK"))</f>
        <v/>
      </c>
    </row>
    <row r="9" ht="15" customHeight="1" s="18">
      <c r="A9" s="17" t="inlineStr">
        <is>
          <t>Kid Junmaishu - 1.8L (Sake)</t>
        </is>
      </c>
      <c r="B9" s="17" t="inlineStr">
        <is>
          <t>Beverages</t>
        </is>
      </c>
      <c r="C9" s="17" t="n">
        <v>0</v>
      </c>
      <c r="D9" s="34">
        <f>IF(C9=0,"OUT OF STOCK",IF(C9&lt;3,"LOW","OK"))</f>
        <v/>
      </c>
    </row>
    <row r="10" ht="15" customHeight="1" s="18">
      <c r="A10" s="17" t="inlineStr">
        <is>
          <t>Kid Junmaishu - 720ml (Sake)</t>
        </is>
      </c>
      <c r="B10" s="17" t="inlineStr">
        <is>
          <t>Beverages</t>
        </is>
      </c>
      <c r="C10" s="17" t="n">
        <v>0</v>
      </c>
      <c r="D10" s="34">
        <f>IF(C10=0,"OUT OF STOCK",IF(C10&lt;3,"LOW","OK"))</f>
        <v/>
      </c>
    </row>
    <row r="11" ht="15" customHeight="1" s="18">
      <c r="A11" s="17" t="inlineStr">
        <is>
          <t>Chateau Belgrave 2014 (Red Wine)</t>
        </is>
      </c>
      <c r="B11" s="17" t="inlineStr">
        <is>
          <t>Beverages</t>
        </is>
      </c>
      <c r="C11" s="17" t="n">
        <v>0</v>
      </c>
      <c r="D11" s="34">
        <f>IF(C11=0,"OUT OF STOCK",IF(C11&lt;3,"LOW","OK"))</f>
        <v/>
      </c>
    </row>
    <row r="12" ht="15" customHeight="1" s="18">
      <c r="A12" s="17" t="inlineStr">
        <is>
          <t>Shima Aji Sashimi</t>
        </is>
      </c>
      <c r="B12" s="17" t="inlineStr">
        <is>
          <t>Sashimi Bar</t>
        </is>
      </c>
      <c r="C12" s="17" t="n">
        <v>0</v>
      </c>
      <c r="D12" s="34">
        <f>IF(C12=0,"OUT OF STOCK",IF(C12&lt;3,"LOW","OK"))</f>
        <v/>
      </c>
    </row>
    <row r="13" ht="15" customHeight="1" s="18">
      <c r="A13" s="17" t="inlineStr">
        <is>
          <t>Uni Sashimi</t>
        </is>
      </c>
      <c r="B13" s="17" t="inlineStr">
        <is>
          <t>Sashimi Bar</t>
        </is>
      </c>
      <c r="C13" s="17" t="n">
        <v>0</v>
      </c>
      <c r="D13" s="34">
        <f>IF(C13=0,"OUT OF STOCK",IF(C13&lt;3,"LOW","OK"))</f>
        <v/>
      </c>
    </row>
    <row r="14" ht="15" customHeight="1" s="18">
      <c r="A14" s="17" t="inlineStr">
        <is>
          <t>Engawa Sashimi</t>
        </is>
      </c>
      <c r="B14" s="17" t="inlineStr">
        <is>
          <t>Sashimi Bar</t>
        </is>
      </c>
      <c r="C14" s="17" t="n">
        <v>0</v>
      </c>
      <c r="D14" s="34">
        <f>IF(C14=0,"OUT OF STOCK",IF(C14&lt;3,"LOW","OK"))</f>
        <v/>
      </c>
    </row>
    <row r="15" ht="15" customHeight="1" s="18">
      <c r="A15" s="17" t="inlineStr">
        <is>
          <t>Shima Aji Belly Sashimi</t>
        </is>
      </c>
      <c r="B15" s="17" t="inlineStr">
        <is>
          <t>Sashimi Bar</t>
        </is>
      </c>
      <c r="C15" s="17" t="n">
        <v>0</v>
      </c>
      <c r="D15" s="34">
        <f>IF(C15=0,"OUT OF STOCK",IF(C15&lt;3,"LOW","OK"))</f>
        <v/>
      </c>
    </row>
    <row r="16" ht="15" customHeight="1" s="18">
      <c r="A16" s="17" t="inlineStr">
        <is>
          <t>Shima Aji Sushi</t>
        </is>
      </c>
      <c r="B16" s="17" t="inlineStr">
        <is>
          <t>Sushi Bar</t>
        </is>
      </c>
      <c r="C16" s="17" t="n">
        <v>0</v>
      </c>
      <c r="D16" s="34">
        <f>IF(C16=0,"OUT OF STOCK",IF(C16&lt;3,"LOW","OK"))</f>
        <v/>
      </c>
    </row>
    <row r="17" ht="15" customHeight="1" s="18">
      <c r="A17" s="17" t="inlineStr">
        <is>
          <t>Engawa Sushi</t>
        </is>
      </c>
      <c r="B17" s="17" t="inlineStr">
        <is>
          <t>Sushi Bar</t>
        </is>
      </c>
      <c r="C17" s="17" t="n">
        <v>0</v>
      </c>
      <c r="D17" s="34">
        <f>IF(C17=0,"OUT OF STOCK",IF(C17&lt;3,"LOW","OK"))</f>
        <v/>
      </c>
    </row>
    <row r="18" ht="15" customHeight="1" s="18">
      <c r="A18" s="17" t="inlineStr">
        <is>
          <t>Shima Aji Belly Sushi</t>
        </is>
      </c>
      <c r="B18" s="17" t="inlineStr">
        <is>
          <t>Sushi Bar</t>
        </is>
      </c>
      <c r="C18" s="17" t="n">
        <v>0</v>
      </c>
      <c r="D18" s="34">
        <f>IF(C18=0,"OUT OF STOCK",IF(C18&lt;3,"LOW","OK"))</f>
        <v/>
      </c>
    </row>
    <row r="19" ht="15" customHeight="1" s="18">
      <c r="A19" s="17" t="inlineStr">
        <is>
          <t>Hamachi Collar</t>
        </is>
      </c>
      <c r="B19" s="17" t="inlineStr">
        <is>
          <t>Grill Bar</t>
        </is>
      </c>
      <c r="C19" s="17" t="n">
        <v>0</v>
      </c>
      <c r="D19" s="34">
        <f>IF(C19=0,"OUT OF STOCK",IF(C19&lt;3,"LOW","OK"))</f>
        <v/>
      </c>
    </row>
    <row r="20" ht="15" customHeight="1" s="18">
      <c r="A20" s="17" t="inlineStr">
        <is>
          <t>Tebasaki Kushiyaki</t>
        </is>
      </c>
      <c r="B20" s="17" t="inlineStr">
        <is>
          <t>Grill Bar</t>
        </is>
      </c>
      <c r="C20" s="17" t="n">
        <v>0</v>
      </c>
      <c r="D20" s="34">
        <f>IF(C20=0,"OUT OF STOCK",IF(C20&lt;3,"LOW","OK"))</f>
        <v/>
      </c>
    </row>
    <row r="21" ht="15" customHeight="1" s="18">
      <c r="A21" s="17" t="inlineStr">
        <is>
          <t>Kinme Classic Umeshu 2016 - 4 liter</t>
        </is>
      </c>
      <c r="B21" s="17" t="inlineStr">
        <is>
          <t>Beverages</t>
        </is>
      </c>
      <c r="C21" s="17" t="n">
        <v>1</v>
      </c>
      <c r="D21" s="17">
        <f>IF(C21=0,"OUT OF STOCK",IF(C21&lt;3,"LOW","OK"))</f>
        <v/>
      </c>
    </row>
    <row r="22" ht="15" customHeight="1" s="18">
      <c r="A22" s="17" t="inlineStr">
        <is>
          <t>Kinme Classic Umeshu 2017 - 4 liter</t>
        </is>
      </c>
      <c r="B22" s="17" t="inlineStr">
        <is>
          <t>Beverages</t>
        </is>
      </c>
      <c r="C22" s="17" t="n">
        <v>1</v>
      </c>
      <c r="D22" s="17">
        <f>IF(C22=0,"OUT OF STOCK",IF(C22&lt;3,"LOW","OK"))</f>
        <v/>
      </c>
    </row>
    <row r="23" ht="15" customHeight="1" s="18">
      <c r="A23" s="17" t="inlineStr">
        <is>
          <t>Kinme Classic Umeshu 2018 - 4 liter</t>
        </is>
      </c>
      <c r="B23" s="17" t="inlineStr">
        <is>
          <t>Beverages</t>
        </is>
      </c>
      <c r="C23" s="17" t="n">
        <v>1</v>
      </c>
      <c r="D23" s="17">
        <f>IF(C23=0,"OUT OF STOCK",IF(C23&lt;3,"LOW","OK"))</f>
        <v/>
      </c>
    </row>
    <row r="24" ht="15" customHeight="1" s="18">
      <c r="A24" s="17" t="inlineStr">
        <is>
          <t>Kinme Ikkyuu Umeshu 2021 - 4 liter (Super)</t>
        </is>
      </c>
      <c r="B24" s="17" t="inlineStr">
        <is>
          <t>Beverages</t>
        </is>
      </c>
      <c r="C24" s="17" t="n">
        <v>1</v>
      </c>
      <c r="D24" s="17">
        <f>IF(C24=0,"OUT OF STOCK",IF(C24&lt;3,"LOW","OK"))</f>
        <v/>
      </c>
    </row>
    <row r="25" ht="15" customHeight="1" s="18">
      <c r="A25" s="17" t="inlineStr">
        <is>
          <t>Kinme Cheri-Shochu 2023 - 2 litre</t>
        </is>
      </c>
      <c r="B25" s="17" t="inlineStr">
        <is>
          <t>Beverages</t>
        </is>
      </c>
      <c r="C25" s="17" t="n">
        <v>1</v>
      </c>
      <c r="D25" s="17">
        <f>IF(C25=0,"OUT OF STOCK",IF(C25&lt;3,"LOW","OK"))</f>
        <v/>
      </c>
    </row>
    <row r="26" ht="15" customHeight="1" s="18">
      <c r="A26" s="17" t="inlineStr">
        <is>
          <t>Hakkaisan Tokubetsu - 1.8L (Sake)</t>
        </is>
      </c>
      <c r="B26" s="17" t="inlineStr">
        <is>
          <t>Beverages</t>
        </is>
      </c>
      <c r="C26" s="17" t="n">
        <v>1</v>
      </c>
      <c r="D26" s="17">
        <f>IF(C26=0,"OUT OF STOCK",IF(C26&lt;3,"LOW","OK"))</f>
        <v/>
      </c>
    </row>
    <row r="27" ht="15" customHeight="1" s="18">
      <c r="A27" s="17" t="inlineStr">
        <is>
          <t>Gunkan-Jima Imo - By Bottle (Shochu)</t>
        </is>
      </c>
      <c r="B27" s="17" t="inlineStr">
        <is>
          <t>Beverages</t>
        </is>
      </c>
      <c r="C27" s="17" t="n">
        <v>1</v>
      </c>
      <c r="D27" s="17">
        <f>IF(C27=0,"OUT OF STOCK",IF(C27&lt;3,"LOW","OK"))</f>
        <v/>
      </c>
    </row>
    <row r="28" ht="15" customHeight="1" s="18">
      <c r="A28" s="17" t="inlineStr">
        <is>
          <t>Hakushu 10 Years - Bottle (Whisky)</t>
        </is>
      </c>
      <c r="B28" s="17" t="inlineStr">
        <is>
          <t>Beverages</t>
        </is>
      </c>
      <c r="C28" s="17" t="n">
        <v>1</v>
      </c>
      <c r="D28" s="17">
        <f>IF(C28=0,"OUT OF STOCK",IF(C28&lt;3,"LOW","OK"))</f>
        <v/>
      </c>
    </row>
    <row r="29" ht="15" customHeight="1" s="18">
      <c r="A29" s="17" t="inlineStr">
        <is>
          <t>Hakushu 18 Years Single Malt (Limited Edition) (Whisky)</t>
        </is>
      </c>
      <c r="B29" s="17" t="inlineStr">
        <is>
          <t>Beverages</t>
        </is>
      </c>
      <c r="C29" s="17" t="n">
        <v>1</v>
      </c>
      <c r="D29" s="17">
        <f>IF(C29=0,"OUT OF STOCK",IF(C29&lt;3,"LOW","OK"))</f>
        <v/>
      </c>
    </row>
    <row r="30" ht="15" customHeight="1" s="18">
      <c r="A30" s="17" t="inlineStr">
        <is>
          <t>Hibiki 21 Years - Bottle (Whisky)</t>
        </is>
      </c>
      <c r="B30" s="17" t="inlineStr">
        <is>
          <t>Beverages</t>
        </is>
      </c>
      <c r="C30" s="17" t="n">
        <v>1</v>
      </c>
      <c r="D30" s="17">
        <f>IF(C30=0,"OUT OF STOCK",IF(C30&lt;3,"LOW","OK"))</f>
        <v/>
      </c>
    </row>
    <row r="31" ht="15" customHeight="1" s="18">
      <c r="A31" s="17" t="inlineStr">
        <is>
          <t>The Kurayoshi Distillery - Bottle (Whisky)</t>
        </is>
      </c>
      <c r="B31" s="17" t="inlineStr">
        <is>
          <t>Beverages</t>
        </is>
      </c>
      <c r="C31" s="17" t="n">
        <v>1</v>
      </c>
      <c r="D31" s="17">
        <f>IF(C31=0,"OUT OF STOCK",IF(C31&lt;3,"LOW","OK"))</f>
        <v/>
      </c>
    </row>
    <row r="32" ht="15" customHeight="1" s="18">
      <c r="A32" s="17" t="inlineStr">
        <is>
          <t>Yamazaki 12 Years - Bottle (Whisky)</t>
        </is>
      </c>
      <c r="B32" s="17" t="inlineStr">
        <is>
          <t>Beverages</t>
        </is>
      </c>
      <c r="C32" s="17" t="n">
        <v>1</v>
      </c>
      <c r="D32" s="17">
        <f>IF(C32=0,"OUT OF STOCK",IF(C32&lt;3,"LOW","OK"))</f>
        <v/>
      </c>
    </row>
    <row r="33" ht="15" customHeight="1" s="18">
      <c r="A33" s="17" t="inlineStr">
        <is>
          <t>Yoichi 15 Years - Bottle (Whisky)</t>
        </is>
      </c>
      <c r="B33" s="17" t="inlineStr">
        <is>
          <t>Beverages</t>
        </is>
      </c>
      <c r="C33" s="17" t="n">
        <v>1</v>
      </c>
      <c r="D33" s="17">
        <f>IF(C33=0,"OUT OF STOCK",IF(C33&lt;3,"LOW","OK"))</f>
        <v/>
      </c>
    </row>
    <row r="34" ht="15" customHeight="1" s="18">
      <c r="A34" s="17" t="inlineStr">
        <is>
          <t>JD Morey St Denis 2016 (Red WIne)</t>
        </is>
      </c>
      <c r="B34" s="17" t="inlineStr">
        <is>
          <t>Beverages</t>
        </is>
      </c>
      <c r="C34" s="17" t="n">
        <v>1</v>
      </c>
      <c r="D34" s="17">
        <f>IF(C34=0,"OUT OF STOCK",IF(C34&lt;3,"LOW","OK"))</f>
        <v/>
      </c>
    </row>
    <row r="35" ht="15" customHeight="1" s="18">
      <c r="A35" s="17" t="inlineStr">
        <is>
          <t>Kampachi Collar</t>
        </is>
      </c>
      <c r="B35" s="17" t="inlineStr">
        <is>
          <t>Grill Bar</t>
        </is>
      </c>
      <c r="C35" s="17" t="n">
        <v>1</v>
      </c>
      <c r="D35" s="17">
        <f>IF(C35=0,"OUT OF STOCK",IF(C35&lt;3,"LOW","OK"))</f>
        <v/>
      </c>
    </row>
    <row r="36" ht="15" customHeight="1" s="18">
      <c r="A36" s="17" t="inlineStr">
        <is>
          <t>Miyazaki Akagai</t>
        </is>
      </c>
      <c r="B36" s="17" t="inlineStr">
        <is>
          <t>Seasonal</t>
        </is>
      </c>
      <c r="C36" s="17" t="n">
        <v>2</v>
      </c>
      <c r="D36" s="17">
        <f>IF(C36=0,"OUT OF STOCK",IF(C36&lt;3,"LOW","OK"))</f>
        <v/>
      </c>
    </row>
    <row r="37" ht="15" customHeight="1" s="18">
      <c r="A37" s="17" t="inlineStr">
        <is>
          <t>Kinme Ikkyuu Umeshu 2021 - 4 liter (AAA)</t>
        </is>
      </c>
      <c r="B37" s="17" t="inlineStr">
        <is>
          <t>Beverages</t>
        </is>
      </c>
      <c r="C37" s="17" t="n">
        <v>2</v>
      </c>
      <c r="D37" s="17">
        <f>IF(C37=0,"OUT OF STOCK",IF(C37&lt;3,"LOW","OK"))</f>
        <v/>
      </c>
    </row>
    <row r="38" ht="15" customHeight="1" s="18">
      <c r="A38" s="17" t="inlineStr">
        <is>
          <t>Kinme Whisky Umeshu 2025 - 4 liter</t>
        </is>
      </c>
      <c r="B38" s="17" t="inlineStr">
        <is>
          <t>Beverages</t>
        </is>
      </c>
      <c r="C38" s="17" t="n">
        <v>2</v>
      </c>
      <c r="D38" s="17">
        <f>IF(C38=0,"OUT OF STOCK",IF(C38&lt;3,"LOW","OK"))</f>
        <v/>
      </c>
    </row>
    <row r="39" ht="15" customHeight="1" s="18">
      <c r="A39" s="17" t="inlineStr">
        <is>
          <t>Okayama Single Malt - Bottle (Whisky)</t>
        </is>
      </c>
      <c r="B39" s="17" t="inlineStr">
        <is>
          <t>Beverages</t>
        </is>
      </c>
      <c r="C39" s="17" t="n">
        <v>2</v>
      </c>
      <c r="D39" s="17">
        <f>IF(C39=0,"OUT OF STOCK",IF(C39&lt;3,"LOW","OK"))</f>
        <v/>
      </c>
    </row>
    <row r="40" ht="15" customHeight="1" s="18">
      <c r="A40" s="17" t="inlineStr">
        <is>
          <t>Rokkosan 12 Years - Bottle (Whisky)</t>
        </is>
      </c>
      <c r="B40" s="17" t="inlineStr">
        <is>
          <t>Beverages</t>
        </is>
      </c>
      <c r="C40" s="17" t="n">
        <v>2</v>
      </c>
      <c r="D40" s="17">
        <f>IF(C40=0,"OUT OF STOCK",IF(C40&lt;3,"LOW","OK"))</f>
        <v/>
      </c>
    </row>
    <row r="41" ht="15" customHeight="1" s="18">
      <c r="A41" s="17" t="inlineStr">
        <is>
          <t>Sakurao Single Malt - Bottle (Whisky)</t>
        </is>
      </c>
      <c r="B41" s="17" t="inlineStr">
        <is>
          <t>Beverages</t>
        </is>
      </c>
      <c r="C41" s="17" t="n">
        <v>2</v>
      </c>
      <c r="D41" s="17">
        <f>IF(C41=0,"OUT OF STOCK",IF(C41&lt;3,"LOW","OK"))</f>
        <v/>
      </c>
    </row>
    <row r="42" ht="15" customHeight="1" s="18">
      <c r="A42" s="17" t="inlineStr">
        <is>
          <t>Taketsuru 17 Years - Bottle (Whisky)</t>
        </is>
      </c>
      <c r="B42" s="17" t="inlineStr">
        <is>
          <t>Beverages</t>
        </is>
      </c>
      <c r="C42" s="17" t="n">
        <v>2</v>
      </c>
      <c r="D42" s="17">
        <f>IF(C42=0,"OUT OF STOCK",IF(C42&lt;3,"LOW","OK"))</f>
        <v/>
      </c>
    </row>
    <row r="43" ht="15" customHeight="1" s="18">
      <c r="A43" s="17" t="inlineStr">
        <is>
          <t>The Kurayoshi 18 years - Bottle (Whisky)</t>
        </is>
      </c>
      <c r="B43" s="17" t="inlineStr">
        <is>
          <t>Beverages</t>
        </is>
      </c>
      <c r="C43" s="17" t="n">
        <v>2</v>
      </c>
      <c r="D43" s="17">
        <f>IF(C43=0,"OUT OF STOCK",IF(C43&lt;3,"LOW","OK"))</f>
        <v/>
      </c>
    </row>
    <row r="44" ht="15" customHeight="1" s="18">
      <c r="A44" s="17" t="inlineStr">
        <is>
          <t>The Nikka Tailored - Bottle (Whisky)</t>
        </is>
      </c>
      <c r="B44" s="17" t="inlineStr">
        <is>
          <t>Beverages</t>
        </is>
      </c>
      <c r="C44" s="17" t="n">
        <v>2</v>
      </c>
      <c r="D44" s="17">
        <f>IF(C44=0,"OUT OF STOCK",IF(C44&lt;3,"LOW","OK"))</f>
        <v/>
      </c>
    </row>
    <row r="45" ht="15" customHeight="1" s="18">
      <c r="A45" s="17" t="inlineStr">
        <is>
          <t>Yamazaki 18 Years - Bottle (Whisky)</t>
        </is>
      </c>
      <c r="B45" s="17" t="inlineStr">
        <is>
          <t>Beverages</t>
        </is>
      </c>
      <c r="C45" s="17" t="n">
        <v>2</v>
      </c>
      <c r="D45" s="17">
        <f>IF(C45=0,"OUT OF STOCK",IF(C45&lt;3,"LOW","OK"))</f>
        <v/>
      </c>
    </row>
    <row r="46" ht="15" customHeight="1" s="18">
      <c r="A46" s="17" t="inlineStr">
        <is>
          <t>Yoichi 10 Years - Bottle (Whisky)</t>
        </is>
      </c>
      <c r="B46" s="17" t="inlineStr">
        <is>
          <t>Beverages</t>
        </is>
      </c>
      <c r="C46" s="17" t="n">
        <v>2</v>
      </c>
      <c r="D46" s="17">
        <f>IF(C46=0,"OUT OF STOCK",IF(C46&lt;3,"LOW","OK"))</f>
        <v/>
      </c>
    </row>
    <row r="47" ht="15" customHeight="1" s="18">
      <c r="A47" s="17" t="inlineStr">
        <is>
          <t>Kampachi Kama</t>
        </is>
      </c>
      <c r="B47" s="17" t="inlineStr">
        <is>
          <t>Grill Bar</t>
        </is>
      </c>
      <c r="C47" s="17" t="n">
        <v>2</v>
      </c>
      <c r="D47" s="17">
        <f>IF(C47=0,"OUT OF STOCK",IF(C47&lt;3,"LOW","OK"))</f>
        <v/>
      </c>
    </row>
    <row r="48" ht="15" customHeight="1" s="18">
      <c r="A48" s="17" t="inlineStr">
        <is>
          <t>Kinme Pineapple Tart</t>
        </is>
      </c>
      <c r="B48" s="17" t="inlineStr">
        <is>
          <t>Seasonal</t>
        </is>
      </c>
      <c r="C48" s="17" t="n">
        <v>2</v>
      </c>
      <c r="D48" s="17">
        <f>IF(C48=0,"OUT OF STOCK",IF(C48&lt;3,"LOW","OK"))</f>
        <v/>
      </c>
    </row>
    <row r="49" ht="15" customHeight="1" s="18">
      <c r="A49" s="17" t="inlineStr">
        <is>
          <t>Kinme Classic Umeshu 2021 - 4 liter (House Pour)</t>
        </is>
      </c>
      <c r="B49" s="17" t="inlineStr">
        <is>
          <t>Beverages</t>
        </is>
      </c>
      <c r="C49" s="17" t="n">
        <v>3</v>
      </c>
      <c r="D49" s="17">
        <f>IF(C49=0,"OUT OF STOCK",IF(C49&lt;3,"LOW","OK"))</f>
        <v/>
      </c>
    </row>
    <row r="50" ht="15" customHeight="1" s="18">
      <c r="A50" s="17" t="inlineStr">
        <is>
          <t>Kinme Cheri-Shochu 2019 - 4 litre</t>
        </is>
      </c>
      <c r="B50" s="17" t="inlineStr">
        <is>
          <t>Beverages</t>
        </is>
      </c>
      <c r="C50" s="17" t="n">
        <v>3</v>
      </c>
      <c r="D50" s="17">
        <f>IF(C50=0,"OUT OF STOCK",IF(C50&lt;3,"LOW","OK"))</f>
        <v/>
      </c>
    </row>
    <row r="51" ht="15" customHeight="1" s="18">
      <c r="A51" s="17" t="inlineStr">
        <is>
          <t>Toyobijin Ichiban Matoi Junmai Daiginjyo - 720ml (Sake)</t>
        </is>
      </c>
      <c r="B51" s="17" t="inlineStr">
        <is>
          <t>Beverages</t>
        </is>
      </c>
      <c r="C51" s="17" t="n">
        <v>3</v>
      </c>
      <c r="D51" s="17">
        <f>IF(C51=0,"OUT OF STOCK",IF(C51&lt;3,"LOW","OK"))</f>
        <v/>
      </c>
    </row>
    <row r="52" ht="15" customHeight="1" s="18">
      <c r="A52" s="17" t="inlineStr">
        <is>
          <t>Takara Shochikubai Kyoto Junmai - 1.8L (Sake)</t>
        </is>
      </c>
      <c r="B52" s="17" t="inlineStr">
        <is>
          <t>Beverages</t>
        </is>
      </c>
      <c r="C52" s="17" t="n">
        <v>3</v>
      </c>
      <c r="D52" s="17">
        <f>IF(C52=0,"OUT OF STOCK",IF(C52&lt;3,"LOW","OK"))</f>
        <v/>
      </c>
    </row>
    <row r="53" ht="15" customHeight="1" s="18">
      <c r="A53" s="17" t="inlineStr">
        <is>
          <t>Akashi 5 Years - Bottle (Whisky)</t>
        </is>
      </c>
      <c r="B53" s="17" t="inlineStr">
        <is>
          <t>Beverages</t>
        </is>
      </c>
      <c r="C53" s="17" t="n">
        <v>3</v>
      </c>
      <c r="D53" s="17">
        <f>IF(C53=0,"OUT OF STOCK",IF(C53&lt;3,"LOW","OK"))</f>
        <v/>
      </c>
    </row>
    <row r="54" ht="15" customHeight="1" s="18">
      <c r="A54" s="17" t="inlineStr">
        <is>
          <t>Sake Kama</t>
        </is>
      </c>
      <c r="B54" s="17" t="inlineStr">
        <is>
          <t>Grill Bar</t>
        </is>
      </c>
      <c r="C54" s="17" t="n">
        <v>3</v>
      </c>
      <c r="D54" s="17">
        <f>IF(C54=0,"OUT OF STOCK",IF(C54&lt;3,"LOW","OK"))</f>
        <v/>
      </c>
    </row>
    <row r="55" ht="15" customHeight="1" s="18">
      <c r="A55" s="17" t="inlineStr">
        <is>
          <t>Kinme Cheri-Shochu 2018 - 2 litre</t>
        </is>
      </c>
      <c r="B55" s="17" t="inlineStr">
        <is>
          <t>Beverages</t>
        </is>
      </c>
      <c r="C55" s="17" t="n">
        <v>4</v>
      </c>
      <c r="D55" s="17">
        <f>IF(C55=0,"OUT OF STOCK",IF(C55&lt;3,"LOW","OK"))</f>
        <v/>
      </c>
    </row>
    <row r="56" ht="15" customHeight="1" s="18">
      <c r="A56" s="17" t="inlineStr">
        <is>
          <t>Kinme Cheri-Shochu 2023 - 4 litre</t>
        </is>
      </c>
      <c r="B56" s="17" t="inlineStr">
        <is>
          <t>Beverages</t>
        </is>
      </c>
      <c r="C56" s="17" t="n">
        <v>4</v>
      </c>
      <c r="D56" s="17">
        <f>IF(C56=0,"OUT OF STOCK",IF(C56&lt;3,"LOW","OK"))</f>
        <v/>
      </c>
    </row>
    <row r="57" ht="15" customHeight="1" s="18">
      <c r="A57" s="17" t="inlineStr">
        <is>
          <t>Kubota Manjyu Junmai Daiginjo - 720ml (Sake)</t>
        </is>
      </c>
      <c r="B57" s="17" t="inlineStr">
        <is>
          <t>Beverages</t>
        </is>
      </c>
      <c r="C57" s="17" t="n">
        <v>4</v>
      </c>
      <c r="D57" s="17">
        <f>IF(C57=0,"OUT OF STOCK",IF(C57&lt;3,"LOW","OK"))</f>
        <v/>
      </c>
    </row>
    <row r="58" ht="15" customHeight="1" s="18">
      <c r="A58" s="17" t="inlineStr">
        <is>
          <t>Kubota Senjyu Ginjo - 1.8L (Sake)</t>
        </is>
      </c>
      <c r="B58" s="17" t="inlineStr">
        <is>
          <t>Beverages</t>
        </is>
      </c>
      <c r="C58" s="17" t="n">
        <v>4</v>
      </c>
      <c r="D58" s="17">
        <f>IF(C58=0,"OUT OF STOCK",IF(C58&lt;3,"LOW","OK"))</f>
        <v/>
      </c>
    </row>
    <row r="59" ht="15" customHeight="1" s="18">
      <c r="A59" s="17" t="inlineStr">
        <is>
          <t>Gunkan-Jima Mugi - By Bottle (Shochu)</t>
        </is>
      </c>
      <c r="B59" s="17" t="inlineStr">
        <is>
          <t>Beverages</t>
        </is>
      </c>
      <c r="C59" s="17" t="n">
        <v>4</v>
      </c>
      <c r="D59" s="17">
        <f>IF(C59=0,"OUT OF STOCK",IF(C59&lt;3,"LOW","OK"))</f>
        <v/>
      </c>
    </row>
    <row r="60" ht="15" customHeight="1" s="18">
      <c r="A60" s="17" t="inlineStr">
        <is>
          <t>Kicchomu Mugi - By Bottle (Shochu)</t>
        </is>
      </c>
      <c r="B60" s="17" t="inlineStr">
        <is>
          <t>Beverages</t>
        </is>
      </c>
      <c r="C60" s="17" t="n">
        <v>4</v>
      </c>
      <c r="D60" s="17">
        <f>IF(C60=0,"OUT OF STOCK",IF(C60&lt;3,"LOW","OK"))</f>
        <v/>
      </c>
    </row>
    <row r="61" ht="15" customHeight="1" s="18">
      <c r="A61" s="17" t="inlineStr">
        <is>
          <t>Fujisan Roku 50 - Bottle (Whisky)</t>
        </is>
      </c>
      <c r="B61" s="17" t="inlineStr">
        <is>
          <t>Beverages</t>
        </is>
      </c>
      <c r="C61" s="17" t="n">
        <v>4</v>
      </c>
      <c r="D61" s="17">
        <f>IF(C61=0,"OUT OF STOCK",IF(C61&lt;3,"LOW","OK"))</f>
        <v/>
      </c>
    </row>
    <row r="62" ht="15" customHeight="1" s="18">
      <c r="A62" s="17" t="inlineStr">
        <is>
          <t>Yamazaki Single Malt (Limited Edition 2022) (Whisky)</t>
        </is>
      </c>
      <c r="B62" s="17" t="inlineStr">
        <is>
          <t>Beverages</t>
        </is>
      </c>
      <c r="C62" s="17" t="n">
        <v>4</v>
      </c>
      <c r="D62" s="17">
        <f>IF(C62=0,"OUT OF STOCK",IF(C62&lt;3,"LOW","OK"))</f>
        <v/>
      </c>
    </row>
    <row r="63" ht="15" customHeight="1" s="18">
      <c r="A63" s="17" t="inlineStr">
        <is>
          <t>Sake Harami (Yakimono)</t>
        </is>
      </c>
      <c r="B63" s="17" t="inlineStr">
        <is>
          <t>Grill Bar</t>
        </is>
      </c>
      <c r="C63" s="17" t="n">
        <v>4</v>
      </c>
      <c r="D63" s="17">
        <f>IF(C63=0,"OUT OF STOCK",IF(C63&lt;3,"LOW","OK"))</f>
        <v/>
      </c>
    </row>
    <row r="64" ht="15" customHeight="1" s="18">
      <c r="A64" s="17" t="inlineStr">
        <is>
          <t>Naga Nasu</t>
        </is>
      </c>
      <c r="B64" s="17" t="inlineStr">
        <is>
          <t>Grill Bar</t>
        </is>
      </c>
      <c r="C64" s="17" t="n">
        <v>4</v>
      </c>
      <c r="D64" s="17">
        <f>IF(C64=0,"OUT OF STOCK",IF(C64&lt;3,"LOW","OK"))</f>
        <v/>
      </c>
    </row>
    <row r="65" ht="15" customHeight="1" s="18">
      <c r="A65" s="17" t="inlineStr">
        <is>
          <t>Kinme Classic Umeshu 2025 - 4 liter (House Pour)</t>
        </is>
      </c>
      <c r="B65" s="17" t="inlineStr">
        <is>
          <t>Beverages</t>
        </is>
      </c>
      <c r="C65" s="17" t="n">
        <v>5</v>
      </c>
      <c r="D65" s="17">
        <f>IF(C65=0,"OUT OF STOCK",IF(C65&lt;3,"LOW","OK"))</f>
        <v/>
      </c>
    </row>
    <row r="66" ht="15" customHeight="1" s="18">
      <c r="A66" s="17" t="inlineStr">
        <is>
          <t>Abashiri Outou No Shizuku (Craft Beer)</t>
        </is>
      </c>
      <c r="B66" s="17" t="inlineStr">
        <is>
          <t>Beverages</t>
        </is>
      </c>
      <c r="C66" s="17" t="n">
        <v>5</v>
      </c>
      <c r="D66" s="17">
        <f>IF(C66=0,"OUT OF STOCK",IF(C66&lt;3,"LOW","OK"))</f>
        <v/>
      </c>
    </row>
    <row r="67" ht="15" customHeight="1" s="18">
      <c r="A67" s="17" t="inlineStr">
        <is>
          <t>Hibiki "Blossom Harmony" (Limited Edition 2022) (Whisky)</t>
        </is>
      </c>
      <c r="B67" s="17" t="inlineStr">
        <is>
          <t>Beverages</t>
        </is>
      </c>
      <c r="C67" s="17" t="n">
        <v>5</v>
      </c>
      <c r="D67" s="17">
        <f>IF(C67=0,"OUT OF STOCK",IF(C67&lt;3,"LOW","OK"))</f>
        <v/>
      </c>
    </row>
    <row r="68" ht="15" customHeight="1" s="18">
      <c r="A68" s="17" t="inlineStr">
        <is>
          <t>Hamachi Kama</t>
        </is>
      </c>
      <c r="B68" s="17" t="inlineStr">
        <is>
          <t>Grill Bar</t>
        </is>
      </c>
      <c r="C68" s="17" t="n">
        <v>5</v>
      </c>
      <c r="D68" s="17">
        <f>IF(C68=0,"OUT OF STOCK",IF(C68&lt;3,"LOW","OK"))</f>
        <v/>
      </c>
    </row>
    <row r="69" ht="15" customHeight="1" s="18">
      <c r="A69" s="17" t="inlineStr">
        <is>
          <t>Kinme Classic Umeshu 2023 - 5 liter (House Pour)</t>
        </is>
      </c>
      <c r="B69" s="17" t="inlineStr">
        <is>
          <t>Beverages</t>
        </is>
      </c>
      <c r="C69" s="17" t="n">
        <v>6</v>
      </c>
      <c r="D69" s="17">
        <f>IF(C69=0,"OUT OF STOCK",IF(C69&lt;3,"LOW","OK"))</f>
        <v/>
      </c>
    </row>
    <row r="70" ht="15" customHeight="1" s="18">
      <c r="A70" s="17" t="inlineStr">
        <is>
          <t>Gokoo Mugi - By Bottle (Shochu)</t>
        </is>
      </c>
      <c r="B70" s="17" t="inlineStr">
        <is>
          <t>Beverages</t>
        </is>
      </c>
      <c r="C70" s="17" t="n">
        <v>6</v>
      </c>
      <c r="D70" s="17">
        <f>IF(C70=0,"OUT OF STOCK",IF(C70&lt;3,"LOW","OK"))</f>
        <v/>
      </c>
    </row>
    <row r="71" ht="15" customHeight="1" s="18">
      <c r="A71" s="17" t="inlineStr">
        <is>
          <t>Yamazaki Distiller's Reserve - Bottle (Whisky)</t>
        </is>
      </c>
      <c r="B71" s="17" t="inlineStr">
        <is>
          <t>Beverages</t>
        </is>
      </c>
      <c r="C71" s="17" t="n">
        <v>6</v>
      </c>
      <c r="D71" s="17">
        <f>IF(C71=0,"OUT OF STOCK",IF(C71&lt;3,"LOW","OK"))</f>
        <v/>
      </c>
    </row>
    <row r="72" ht="15" customHeight="1" s="18">
      <c r="A72" s="17" t="inlineStr">
        <is>
          <t>Beni Haruka Sweet Potato</t>
        </is>
      </c>
      <c r="B72" s="17" t="inlineStr">
        <is>
          <t>Grill Bar</t>
        </is>
      </c>
      <c r="C72" s="17" t="n">
        <v>6</v>
      </c>
      <c r="D72" s="17">
        <f>IF(C72=0,"OUT OF STOCK",IF(C72&lt;3,"LOW","OK"))</f>
        <v/>
      </c>
    </row>
    <row r="73" ht="15" customHeight="1" s="18">
      <c r="A73" s="17" t="inlineStr">
        <is>
          <t>New Zealand Abalone</t>
        </is>
      </c>
      <c r="B73" s="17" t="inlineStr">
        <is>
          <t>Seasonal</t>
        </is>
      </c>
      <c r="C73" s="17" t="n">
        <v>6</v>
      </c>
      <c r="D73" s="17">
        <f>IF(C73=0,"OUT OF STOCK",IF(C73&lt;3,"LOW","OK"))</f>
        <v/>
      </c>
    </row>
    <row r="74" ht="15" customHeight="1" s="18">
      <c r="A74" s="17" t="inlineStr">
        <is>
          <t>Kinme Mango-Shochu 2015 - 4 litre</t>
        </is>
      </c>
      <c r="B74" s="17" t="inlineStr">
        <is>
          <t>Beverages</t>
        </is>
      </c>
      <c r="C74" s="17" t="n">
        <v>7</v>
      </c>
      <c r="D74" s="17">
        <f>IF(C74=0,"OUT OF STOCK",IF(C74&lt;3,"LOW","OK"))</f>
        <v/>
      </c>
    </row>
    <row r="75" ht="15" customHeight="1" s="18">
      <c r="A75" s="17" t="inlineStr">
        <is>
          <t>Hakkaisan Tokubetsu - 720ml (Sake)</t>
        </is>
      </c>
      <c r="B75" s="17" t="inlineStr">
        <is>
          <t>Beverages</t>
        </is>
      </c>
      <c r="C75" s="17" t="n">
        <v>7</v>
      </c>
      <c r="D75" s="17">
        <f>IF(C75=0,"OUT OF STOCK",IF(C75&lt;3,"LOW","OK"))</f>
        <v/>
      </c>
    </row>
    <row r="76" ht="15" customHeight="1" s="18">
      <c r="A76" s="17" t="inlineStr">
        <is>
          <t>Kubota Senjyu Ginjo - 720ml (Sake)</t>
        </is>
      </c>
      <c r="B76" s="17" t="inlineStr">
        <is>
          <t>Beverages</t>
        </is>
      </c>
      <c r="C76" s="17" t="n">
        <v>7</v>
      </c>
      <c r="D76" s="17">
        <f>IF(C76=0,"OUT OF STOCK",IF(C76&lt;3,"LOW","OK"))</f>
        <v/>
      </c>
    </row>
    <row r="77" ht="15" customHeight="1" s="18">
      <c r="A77" s="17" t="inlineStr">
        <is>
          <t>Hakushu 18 Years - Bottle (Whisky)</t>
        </is>
      </c>
      <c r="B77" s="17" t="inlineStr">
        <is>
          <t>Beverages</t>
        </is>
      </c>
      <c r="C77" s="17" t="n">
        <v>7</v>
      </c>
      <c r="D77" s="17">
        <f>IF(C77=0,"OUT OF STOCK",IF(C77&lt;3,"LOW","OK"))</f>
        <v/>
      </c>
    </row>
    <row r="78" ht="15" customHeight="1" s="18">
      <c r="A78" s="17" t="inlineStr">
        <is>
          <t>Coke Light</t>
        </is>
      </c>
      <c r="B78" s="17" t="inlineStr">
        <is>
          <t>Beverages</t>
        </is>
      </c>
      <c r="C78" s="17" t="n">
        <v>7</v>
      </c>
      <c r="D78" s="17">
        <f>IF(C78=0,"OUT OF STOCK",IF(C78&lt;3,"LOW","OK"))</f>
        <v/>
      </c>
    </row>
    <row r="79" ht="15" customHeight="1" s="18">
      <c r="A79" s="17" t="inlineStr">
        <is>
          <t>Tonic Water</t>
        </is>
      </c>
      <c r="B79" s="17" t="inlineStr">
        <is>
          <t>Beverages</t>
        </is>
      </c>
      <c r="C79" s="17" t="n">
        <v>7</v>
      </c>
      <c r="D79" s="17">
        <f>IF(C79=0,"OUT OF STOCK",IF(C79&lt;3,"LOW","OK"))</f>
        <v/>
      </c>
    </row>
    <row r="80" ht="15" customHeight="1" s="18">
      <c r="A80" s="17" t="inlineStr">
        <is>
          <t>Kinme Classic Umeshu 2020 - 2 liter</t>
        </is>
      </c>
      <c r="B80" s="17" t="inlineStr">
        <is>
          <t>Beverages</t>
        </is>
      </c>
      <c r="C80" s="17" t="n">
        <v>8</v>
      </c>
      <c r="D80" s="17">
        <f>IF(C80=0,"OUT OF STOCK",IF(C80&lt;3,"LOW","OK"))</f>
        <v/>
      </c>
    </row>
    <row r="81" ht="15" customHeight="1" s="18">
      <c r="A81" s="17" t="inlineStr">
        <is>
          <t>Kakutama - By Bottle (Shochu)</t>
        </is>
      </c>
      <c r="B81" s="17" t="inlineStr">
        <is>
          <t>Beverages</t>
        </is>
      </c>
      <c r="C81" s="17" t="n">
        <v>8</v>
      </c>
      <c r="D81" s="17">
        <f>IF(C81=0,"OUT OF STOCK",IF(C81&lt;3,"LOW","OK"))</f>
        <v/>
      </c>
    </row>
    <row r="82" ht="15" customHeight="1" s="18">
      <c r="A82" s="17" t="inlineStr">
        <is>
          <t>Tomino Hozan - By Bottle (Shochu)</t>
        </is>
      </c>
      <c r="B82" s="17" t="inlineStr">
        <is>
          <t>Beverages</t>
        </is>
      </c>
      <c r="C82" s="17" t="n">
        <v>8</v>
      </c>
      <c r="D82" s="17">
        <f>IF(C82=0,"OUT OF STOCK",IF(C82&lt;3,"LOW","OK"))</f>
        <v/>
      </c>
    </row>
    <row r="83" ht="15" customHeight="1" s="18">
      <c r="A83" s="17" t="inlineStr">
        <is>
          <t>Japan Shiro Tomorokoshi</t>
        </is>
      </c>
      <c r="B83" s="17" t="inlineStr">
        <is>
          <t>Grill Bar</t>
        </is>
      </c>
      <c r="C83" s="17" t="n">
        <v>8</v>
      </c>
      <c r="D83" s="17">
        <f>IF(C83=0,"OUT OF STOCK",IF(C83&lt;3,"LOW","OK"))</f>
        <v/>
      </c>
    </row>
    <row r="84" ht="15" customHeight="1" s="18">
      <c r="A84" s="17" t="inlineStr">
        <is>
          <t>Hakata Karashi Mentai Ko</t>
        </is>
      </c>
      <c r="B84" s="17" t="inlineStr">
        <is>
          <t>Seasonal</t>
        </is>
      </c>
      <c r="C84" s="17" t="n">
        <v>8</v>
      </c>
      <c r="D84" s="17">
        <f>IF(C84=0,"OUT OF STOCK",IF(C84&lt;3,"LOW","OK"))</f>
        <v/>
      </c>
    </row>
    <row r="85" ht="15" customHeight="1" s="18">
      <c r="A85" s="17" t="inlineStr">
        <is>
          <t>Kinme Cheri-Shochu 2021 - 4 litre</t>
        </is>
      </c>
      <c r="B85" s="17" t="inlineStr">
        <is>
          <t>Beverages</t>
        </is>
      </c>
      <c r="C85" s="17" t="n">
        <v>9</v>
      </c>
      <c r="D85" s="17">
        <f>IF(C85=0,"OUT OF STOCK",IF(C85&lt;3,"LOW","OK"))</f>
        <v/>
      </c>
    </row>
    <row r="86" ht="15" customHeight="1" s="18">
      <c r="A86" s="17" t="inlineStr">
        <is>
          <t>Hakutsuru Josen- 1.8L (Sake)</t>
        </is>
      </c>
      <c r="B86" s="17" t="inlineStr">
        <is>
          <t>Beverages</t>
        </is>
      </c>
      <c r="C86" s="17" t="n">
        <v>9</v>
      </c>
      <c r="D86" s="17">
        <f>IF(C86=0,"OUT OF STOCK",IF(C86&lt;3,"LOW","OK"))</f>
        <v/>
      </c>
    </row>
    <row r="87" ht="15" customHeight="1" s="18">
      <c r="A87" s="17" t="inlineStr">
        <is>
          <t>Ginger Ale</t>
        </is>
      </c>
      <c r="B87" s="17" t="inlineStr">
        <is>
          <t>Beverages</t>
        </is>
      </c>
      <c r="C87" s="17" t="n">
        <v>9</v>
      </c>
      <c r="D87" s="17">
        <f>IF(C87=0,"OUT OF STOCK",IF(C87&lt;3,"LOW","OK"))</f>
        <v/>
      </c>
    </row>
    <row r="88" ht="15" customHeight="1" s="18">
      <c r="A88" s="17" t="inlineStr">
        <is>
          <t>Tai Kama</t>
        </is>
      </c>
      <c r="B88" s="17" t="inlineStr">
        <is>
          <t>Grill Bar</t>
        </is>
      </c>
      <c r="C88" s="17" t="n">
        <v>9</v>
      </c>
      <c r="D88" s="17">
        <f>IF(C88=0,"OUT OF STOCK",IF(C88&lt;3,"LOW","OK"))</f>
        <v/>
      </c>
    </row>
    <row r="89" ht="15" customHeight="1" s="18">
      <c r="A89" s="17" t="inlineStr">
        <is>
          <t>Jinkoo Kurokoji Jikomi - By Bottle (Shochu)</t>
        </is>
      </c>
      <c r="B89" s="17" t="inlineStr">
        <is>
          <t>Beverages</t>
        </is>
      </c>
      <c r="C89" s="17" t="n">
        <v>10</v>
      </c>
      <c r="D89" s="17">
        <f>IF(C89=0,"OUT OF STOCK",IF(C89&lt;3,"LOW","OK"))</f>
        <v/>
      </c>
    </row>
    <row r="90" ht="15" customHeight="1" s="18">
      <c r="A90" s="17" t="inlineStr">
        <is>
          <t>Japan Tamanegi</t>
        </is>
      </c>
      <c r="B90" s="17" t="inlineStr">
        <is>
          <t>Grill Bar</t>
        </is>
      </c>
      <c r="C90" s="17" t="n">
        <v>10</v>
      </c>
      <c r="D90" s="17">
        <f>IF(C90=0,"OUT OF STOCK",IF(C90&lt;3,"LOW","OK"))</f>
        <v/>
      </c>
    </row>
    <row r="91" ht="15" customHeight="1" s="18">
      <c r="A91" s="17" t="inlineStr">
        <is>
          <t>Satsuma Hozan - By Bottle (Shochu)</t>
        </is>
      </c>
      <c r="B91" s="17" t="inlineStr">
        <is>
          <t>Beverages</t>
        </is>
      </c>
      <c r="C91" s="17" t="n">
        <v>11</v>
      </c>
      <c r="D91" s="17">
        <f>IF(C91=0,"OUT OF STOCK",IF(C91&lt;3,"LOW","OK"))</f>
        <v/>
      </c>
    </row>
    <row r="92" ht="15" customHeight="1" s="18">
      <c r="A92" s="17" t="inlineStr">
        <is>
          <t>Hibiki 17 Years - Bottle (Whisky)</t>
        </is>
      </c>
      <c r="B92" s="17" t="inlineStr">
        <is>
          <t>Beverages</t>
        </is>
      </c>
      <c r="C92" s="17" t="n">
        <v>11</v>
      </c>
      <c r="D92" s="17">
        <f>IF(C92=0,"OUT OF STOCK",IF(C92&lt;3,"LOW","OK"))</f>
        <v/>
      </c>
    </row>
    <row r="93" ht="15" customHeight="1" s="18">
      <c r="A93" s="17" t="inlineStr">
        <is>
          <t>Akihikari Craft Vodka Crystal Light - Bottle (Vodka)</t>
        </is>
      </c>
      <c r="B93" s="17" t="inlineStr">
        <is>
          <t>Beverages</t>
        </is>
      </c>
      <c r="C93" s="17" t="n">
        <v>11</v>
      </c>
      <c r="D93" s="17">
        <f>IF(C93=0,"OUT OF STOCK",IF(C93&lt;3,"LOW","OK"))</f>
        <v/>
      </c>
    </row>
    <row r="94" ht="15" customHeight="1" s="18">
      <c r="A94" s="17" t="inlineStr">
        <is>
          <t>Jumbo Shiitake</t>
        </is>
      </c>
      <c r="B94" s="17" t="inlineStr">
        <is>
          <t>Grill Bar</t>
        </is>
      </c>
      <c r="C94" s="17" t="n">
        <v>11</v>
      </c>
      <c r="D94" s="17">
        <f>IF(C94=0,"OUT OF STOCK",IF(C94&lt;3,"LOW","OK"))</f>
        <v/>
      </c>
    </row>
    <row r="95" ht="15" customHeight="1" s="18">
      <c r="A95" s="17" t="inlineStr">
        <is>
          <t>Genshu Yakusugi - By Bottle (Shochu)</t>
        </is>
      </c>
      <c r="B95" s="17" t="inlineStr">
        <is>
          <t>Beverages</t>
        </is>
      </c>
      <c r="C95" s="17" t="n">
        <v>12</v>
      </c>
      <c r="D95" s="17">
        <f>IF(C95=0,"OUT OF STOCK",IF(C95&lt;3,"LOW","OK"))</f>
        <v/>
      </c>
    </row>
    <row r="96" ht="15" customHeight="1" s="18">
      <c r="A96" s="17" t="inlineStr">
        <is>
          <t>Zekoo Mugi - Bottle (Shochu)</t>
        </is>
      </c>
      <c r="B96" s="17" t="inlineStr">
        <is>
          <t>Beverages</t>
        </is>
      </c>
      <c r="C96" s="17" t="n">
        <v>12</v>
      </c>
      <c r="D96" s="17">
        <f>IF(C96=0,"OUT OF STOCK",IF(C96&lt;3,"LOW","OK"))</f>
        <v/>
      </c>
    </row>
    <row r="97" ht="15" customHeight="1" s="18">
      <c r="A97" s="17" t="inlineStr">
        <is>
          <t>Coke</t>
        </is>
      </c>
      <c r="B97" s="17" t="inlineStr">
        <is>
          <t>Beverages</t>
        </is>
      </c>
      <c r="C97" s="17" t="n">
        <v>12</v>
      </c>
      <c r="D97" s="17">
        <f>IF(C97=0,"OUT OF STOCK",IF(C97&lt;3,"LOW","OK"))</f>
        <v/>
      </c>
    </row>
    <row r="98" ht="15" customHeight="1" s="18">
      <c r="A98" s="17" t="inlineStr">
        <is>
          <t>San Pellegrino</t>
        </is>
      </c>
      <c r="B98" s="17" t="inlineStr">
        <is>
          <t>Beverages</t>
        </is>
      </c>
      <c r="C98" s="17" t="n">
        <v>12</v>
      </c>
      <c r="D98" s="17">
        <f>IF(C98=0,"OUT OF STOCK",IF(C98&lt;3,"LOW","OK"))</f>
        <v/>
      </c>
    </row>
    <row r="99" ht="15" customHeight="1" s="18">
      <c r="A99" s="17" t="inlineStr">
        <is>
          <t>Umeshu Jelly</t>
        </is>
      </c>
      <c r="B99" s="17" t="inlineStr">
        <is>
          <t>Small Bites</t>
        </is>
      </c>
      <c r="C99" s="17" t="n">
        <v>12</v>
      </c>
      <c r="D99" s="17">
        <f>IF(C99=0,"OUT OF STOCK",IF(C99&lt;3,"LOW","OK"))</f>
        <v/>
      </c>
    </row>
    <row r="100" ht="15" customHeight="1" s="18">
      <c r="A100" s="17" t="inlineStr">
        <is>
          <t>Japan Shishito</t>
        </is>
      </c>
      <c r="B100" s="17" t="inlineStr">
        <is>
          <t>Grill Bar</t>
        </is>
      </c>
      <c r="C100" s="17" t="n">
        <v>12</v>
      </c>
      <c r="D100" s="17">
        <f>IF(C100=0,"OUT OF STOCK",IF(C100&lt;3,"LOW","OK"))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2026-01-31T05:45:07Z</dcterms:created>
  <dcterms:modified xmlns:dcterms="http://purl.org/dc/terms/" xmlns:xsi="http://www.w3.org/2001/XMLSchema-instance" xsi:type="dcterms:W3CDTF">2026-01-31T05:57:24Z</dcterms:modified>
  <cp:revision>0</cp:revision>
</cp:coreProperties>
</file>